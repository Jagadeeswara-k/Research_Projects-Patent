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atay\Desktop\Jagadeesh_Major Project\2_core work\"/>
    </mc:Choice>
  </mc:AlternateContent>
  <xr:revisionPtr revIDLastSave="0" documentId="13_ncr:1_{2298CB2F-B8F1-41AC-B6E0-B19F5EB45C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D6" i="1"/>
  <c r="G6" i="1"/>
  <c r="G7" i="1"/>
  <c r="G8" i="1"/>
  <c r="F6" i="1"/>
  <c r="F7" i="1"/>
  <c r="D7" i="1" s="1"/>
  <c r="F8" i="1"/>
  <c r="D8" i="1" s="1"/>
  <c r="P16" i="1"/>
  <c r="B19" i="1"/>
  <c r="D19" i="1"/>
  <c r="E19" i="1"/>
  <c r="G19" i="1"/>
  <c r="I19" i="1"/>
  <c r="J19" i="1"/>
  <c r="K19" i="1"/>
  <c r="L19" i="1"/>
  <c r="P27" i="1" s="1"/>
  <c r="G40" i="2"/>
  <c r="I40" i="2"/>
  <c r="L40" i="2"/>
  <c r="G41" i="2"/>
  <c r="I41" i="2"/>
  <c r="L41" i="2" s="1"/>
  <c r="G42" i="2"/>
  <c r="I42" i="2"/>
  <c r="L42" i="2"/>
  <c r="G43" i="2"/>
  <c r="I43" i="2"/>
  <c r="L43" i="2"/>
  <c r="D44" i="2"/>
  <c r="G36" i="2"/>
  <c r="I36" i="2"/>
  <c r="L36" i="2" s="1"/>
  <c r="G37" i="2"/>
  <c r="I37" i="2"/>
  <c r="L37" i="2" s="1"/>
  <c r="G38" i="2"/>
  <c r="I38" i="2"/>
  <c r="G39" i="2"/>
  <c r="I39" i="2"/>
  <c r="L39" i="2" s="1"/>
  <c r="I35" i="2"/>
  <c r="L35" i="2" s="1"/>
  <c r="G35" i="2"/>
  <c r="I34" i="2"/>
  <c r="L34" i="2" s="1"/>
  <c r="G34" i="2"/>
  <c r="I33" i="2"/>
  <c r="L33" i="2" s="1"/>
  <c r="G33" i="2"/>
  <c r="I32" i="2"/>
  <c r="L32" i="2" s="1"/>
  <c r="G32" i="2"/>
  <c r="I31" i="2"/>
  <c r="L31" i="2" s="1"/>
  <c r="G31" i="2"/>
  <c r="I30" i="2"/>
  <c r="L30" i="2" s="1"/>
  <c r="G30" i="2"/>
  <c r="I29" i="2"/>
  <c r="L29" i="2" s="1"/>
  <c r="G29" i="2"/>
  <c r="I28" i="2"/>
  <c r="L28" i="2" s="1"/>
  <c r="G28" i="2"/>
  <c r="I27" i="2"/>
  <c r="L27" i="2" s="1"/>
  <c r="G27" i="2"/>
  <c r="I26" i="2"/>
  <c r="L26" i="2" s="1"/>
  <c r="G26" i="2"/>
  <c r="I25" i="2"/>
  <c r="L25" i="2" s="1"/>
  <c r="G25" i="2"/>
  <c r="I24" i="2"/>
  <c r="L24" i="2" s="1"/>
  <c r="G24" i="2"/>
  <c r="I23" i="2"/>
  <c r="L23" i="2" s="1"/>
  <c r="G23" i="2"/>
  <c r="I22" i="2"/>
  <c r="L22" i="2" s="1"/>
  <c r="G22" i="2"/>
  <c r="I21" i="2"/>
  <c r="L21" i="2" s="1"/>
  <c r="G21" i="2"/>
  <c r="I20" i="2"/>
  <c r="L20" i="2" s="1"/>
  <c r="G20" i="2"/>
  <c r="I19" i="2"/>
  <c r="L19" i="2" s="1"/>
  <c r="G19" i="2"/>
  <c r="I18" i="2"/>
  <c r="L18" i="2" s="1"/>
  <c r="G18" i="2"/>
  <c r="I17" i="2"/>
  <c r="L17" i="2" s="1"/>
  <c r="G17" i="2"/>
  <c r="I16" i="2"/>
  <c r="L16" i="2" s="1"/>
  <c r="G16" i="2"/>
  <c r="I15" i="2"/>
  <c r="L15" i="2" s="1"/>
  <c r="G15" i="2"/>
  <c r="I14" i="2"/>
  <c r="L14" i="2" s="1"/>
  <c r="G14" i="2"/>
  <c r="I13" i="2"/>
  <c r="L13" i="2" s="1"/>
  <c r="G13" i="2"/>
  <c r="I12" i="2"/>
  <c r="L12" i="2" s="1"/>
  <c r="G12" i="2"/>
  <c r="I11" i="2"/>
  <c r="L11" i="2" s="1"/>
  <c r="G11" i="2"/>
  <c r="I10" i="2"/>
  <c r="L10" i="2" s="1"/>
  <c r="G10" i="2"/>
  <c r="I9" i="2"/>
  <c r="L9" i="2" s="1"/>
  <c r="G9" i="2"/>
  <c r="I8" i="2"/>
  <c r="L8" i="2" s="1"/>
  <c r="G8" i="2"/>
  <c r="N8" i="1"/>
  <c r="I7" i="2"/>
  <c r="L7" i="2" s="1"/>
  <c r="G7" i="2"/>
  <c r="I6" i="2"/>
  <c r="L6" i="2" s="1"/>
  <c r="G6" i="2"/>
  <c r="I5" i="2"/>
  <c r="G5" i="2"/>
  <c r="I4" i="2"/>
  <c r="L4" i="2" s="1"/>
  <c r="G4" i="2"/>
  <c r="D17" i="1"/>
  <c r="G24" i="1"/>
  <c r="L25" i="1" s="1"/>
  <c r="L27" i="1" s="1"/>
  <c r="P28" i="1" s="1"/>
  <c r="G29" i="1"/>
  <c r="I14" i="1"/>
  <c r="L14" i="1" s="1"/>
  <c r="I15" i="1"/>
  <c r="L15" i="1" s="1"/>
  <c r="I16" i="1"/>
  <c r="L16" i="1" s="1"/>
  <c r="I13" i="1"/>
  <c r="L13" i="1" s="1"/>
  <c r="G14" i="1"/>
  <c r="G15" i="1"/>
  <c r="G16" i="1"/>
  <c r="G13" i="1"/>
  <c r="S8" i="1"/>
  <c r="S9" i="1" s="1"/>
  <c r="P15" i="1"/>
  <c r="P14" i="1"/>
  <c r="R28" i="1" l="1"/>
  <c r="S28" i="1" s="1"/>
  <c r="Q28" i="1"/>
  <c r="P29" i="1"/>
  <c r="R27" i="1"/>
  <c r="Q27" i="1"/>
  <c r="Q29" i="1" s="1"/>
  <c r="Q14" i="1"/>
  <c r="P17" i="1"/>
  <c r="P21" i="1" s="1"/>
  <c r="R14" i="1"/>
  <c r="Q15" i="1"/>
  <c r="R15" i="1"/>
  <c r="S15" i="1" s="1"/>
  <c r="Q16" i="1"/>
  <c r="R16" i="1"/>
  <c r="S16" i="1" s="1"/>
  <c r="L17" i="1"/>
  <c r="I17" i="1"/>
  <c r="I44" i="2"/>
  <c r="L38" i="2"/>
  <c r="L5" i="2"/>
  <c r="G30" i="1"/>
  <c r="G31" i="1" s="1"/>
  <c r="N9" i="1" s="1"/>
  <c r="M9" i="1" s="1"/>
  <c r="H9" i="1"/>
  <c r="P13" i="1" s="1"/>
  <c r="S27" i="1" l="1"/>
  <c r="S29" i="1" s="1"/>
  <c r="R29" i="1"/>
  <c r="R17" i="1"/>
  <c r="R21" i="1" s="1"/>
  <c r="S14" i="1"/>
  <c r="S17" i="1" s="1"/>
  <c r="S21" i="1" s="1"/>
  <c r="P19" i="1"/>
  <c r="P22" i="1" s="1"/>
  <c r="P30" i="1" s="1"/>
  <c r="P31" i="1" s="1"/>
  <c r="Q13" i="1"/>
  <c r="Q19" i="1" s="1"/>
  <c r="R13" i="1"/>
  <c r="Q17" i="1"/>
  <c r="Q21" i="1" s="1"/>
  <c r="L44" i="2"/>
  <c r="Q22" i="1" l="1"/>
  <c r="Q30" i="1" s="1"/>
  <c r="Q31" i="1" s="1"/>
  <c r="S13" i="1"/>
  <c r="S19" i="1" s="1"/>
  <c r="S22" i="1" s="1"/>
  <c r="S30" i="1" s="1"/>
  <c r="S31" i="1" s="1"/>
  <c r="R19" i="1"/>
  <c r="R22" i="1" s="1"/>
  <c r="R30" i="1" s="1"/>
  <c r="R31" i="1" s="1"/>
</calcChain>
</file>

<file path=xl/sharedStrings.xml><?xml version="1.0" encoding="utf-8"?>
<sst xmlns="http://schemas.openxmlformats.org/spreadsheetml/2006/main" count="139" uniqueCount="83">
  <si>
    <t xml:space="preserve">Integrated Energy calculation for EV Charging Stations </t>
  </si>
  <si>
    <t>Solar</t>
  </si>
  <si>
    <t>Source</t>
  </si>
  <si>
    <t>Power Source</t>
  </si>
  <si>
    <t>ESS</t>
  </si>
  <si>
    <t>Grid</t>
  </si>
  <si>
    <t>Voltage</t>
  </si>
  <si>
    <t>Current</t>
  </si>
  <si>
    <t>Voltage [V]</t>
  </si>
  <si>
    <t>Current [I]</t>
  </si>
  <si>
    <t>Power Generation</t>
  </si>
  <si>
    <r>
      <t xml:space="preserve">PCC - </t>
    </r>
    <r>
      <rPr>
        <b/>
        <sz val="18"/>
        <color rgb="FF002060"/>
        <rFont val="Calibri"/>
        <family val="2"/>
        <scheme val="minor"/>
      </rPr>
      <t>Point of common coupling</t>
    </r>
  </si>
  <si>
    <t>Power/day</t>
  </si>
  <si>
    <t>% of Generation/day</t>
  </si>
  <si>
    <t>Total Power Generation per day in KW/24 hr</t>
  </si>
  <si>
    <t>Power Avaliability</t>
  </si>
  <si>
    <t>Voltage - [V]</t>
  </si>
  <si>
    <t>Current - [I]</t>
  </si>
  <si>
    <t>Output Power/day in KW</t>
  </si>
  <si>
    <t>PCC will Logically controlled on aavalibility of source</t>
  </si>
  <si>
    <t xml:space="preserve">No.of batteries </t>
  </si>
  <si>
    <t xml:space="preserve">ESS - Charging </t>
  </si>
  <si>
    <t xml:space="preserve">Amper hour - capacity </t>
  </si>
  <si>
    <t>Power / charge - Watt / hr</t>
  </si>
  <si>
    <t xml:space="preserve">Power / one cycle charge - KW </t>
  </si>
  <si>
    <t>Voltage (V)</t>
  </si>
  <si>
    <t>Power (kW)</t>
  </si>
  <si>
    <t>Battery Capacity (kWh)</t>
  </si>
  <si>
    <t>Cars</t>
  </si>
  <si>
    <t>Required Current</t>
  </si>
  <si>
    <t>SOC Avaliable</t>
  </si>
  <si>
    <t>Charging Time in hr</t>
  </si>
  <si>
    <t xml:space="preserve">Fast Charging Station Load </t>
  </si>
  <si>
    <t>Battery Swapping Station</t>
  </si>
  <si>
    <t>Total Batteries</t>
  </si>
  <si>
    <t xml:space="preserve">Voltage </t>
  </si>
  <si>
    <t>Total Station KW</t>
  </si>
  <si>
    <t>Power/Battery - KW</t>
  </si>
  <si>
    <t>No of Cycle per day</t>
  </si>
  <si>
    <t>Time / Battery in hr</t>
  </si>
  <si>
    <t>Under maintance</t>
  </si>
  <si>
    <t>Avaliable batteries</t>
  </si>
  <si>
    <t>Total Energy Required for Full Swapping Station per Day - KW</t>
  </si>
  <si>
    <t xml:space="preserve">1 - Tata Nexon - EV </t>
  </si>
  <si>
    <t>2- MG ZS EV</t>
  </si>
  <si>
    <t>3-Tata Trigo EV</t>
  </si>
  <si>
    <t>4- Mahindra eVerito</t>
  </si>
  <si>
    <t>Total Power</t>
  </si>
  <si>
    <t>Cost</t>
  </si>
  <si>
    <t>Unit charge</t>
  </si>
  <si>
    <t xml:space="preserve">Total Revenue </t>
  </si>
  <si>
    <t>Total Time</t>
  </si>
  <si>
    <t>S.No</t>
  </si>
  <si>
    <t>KW power can charge / day</t>
  </si>
  <si>
    <t>/ 96 hr</t>
  </si>
  <si>
    <t xml:space="preserve">Power - [W] - KW/h </t>
  </si>
  <si>
    <t>Gen /day</t>
  </si>
  <si>
    <t>use / day</t>
  </si>
  <si>
    <t xml:space="preserve">Cost of charge per battery </t>
  </si>
  <si>
    <t>Total Amout Per day</t>
  </si>
  <si>
    <t>Total Batteries charging / day</t>
  </si>
  <si>
    <t>Total Power saving / Day</t>
  </si>
  <si>
    <t>KW / day</t>
  </si>
  <si>
    <t>KW / year</t>
  </si>
  <si>
    <t>KW / Month</t>
  </si>
  <si>
    <t>KW / 5 years</t>
  </si>
  <si>
    <t>Power sources</t>
  </si>
  <si>
    <t>Required full Power From Grid</t>
  </si>
  <si>
    <t>Spending Amount</t>
  </si>
  <si>
    <t>Fast charging</t>
  </si>
  <si>
    <t>Battery Swapping</t>
  </si>
  <si>
    <t>Per Month</t>
  </si>
  <si>
    <t>Per Year</t>
  </si>
  <si>
    <t>Per 5 Years</t>
  </si>
  <si>
    <t>Per day</t>
  </si>
  <si>
    <t xml:space="preserve">Revenue </t>
  </si>
  <si>
    <t>Total Profit</t>
  </si>
  <si>
    <t>Total Revenue</t>
  </si>
  <si>
    <t>Total Energy  claculation</t>
  </si>
  <si>
    <t>Power [P]- KW/hr</t>
  </si>
  <si>
    <t xml:space="preserve">Required Power </t>
  </si>
  <si>
    <t>Total Generation  Cost  / Day            12rs / unit</t>
  </si>
  <si>
    <t>Total Generation Cost Saving     / Day  12rs /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</si>
</sst>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2" fontId="5" fillId="6" borderId="3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1" fontId="11" fillId="8" borderId="0" xfId="0" applyNumberFormat="1" applyFont="1" applyFill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2" fontId="5" fillId="15" borderId="1" xfId="0" applyNumberFormat="1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vertical="center"/>
    </xf>
    <xf numFmtId="1" fontId="18" fillId="8" borderId="1" xfId="0" applyNumberFormat="1" applyFont="1" applyFill="1" applyBorder="1" applyAlignment="1">
      <alignment vertical="center"/>
    </xf>
    <xf numFmtId="1" fontId="18" fillId="8" borderId="0" xfId="0" applyNumberFormat="1" applyFont="1" applyFill="1" applyAlignment="1">
      <alignment horizontal="center" vertical="center"/>
    </xf>
    <xf numFmtId="0" fontId="1" fillId="7" borderId="5" xfId="0" applyFont="1" applyFill="1" applyBorder="1" applyAlignment="1">
      <alignment wrapText="1"/>
    </xf>
    <xf numFmtId="1" fontId="11" fillId="8" borderId="10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1" fontId="11" fillId="8" borderId="14" xfId="0" applyNumberFormat="1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1" fontId="17" fillId="8" borderId="6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3" fontId="3" fillId="10" borderId="17" xfId="0" applyNumberFormat="1" applyFont="1" applyFill="1" applyBorder="1" applyAlignment="1">
      <alignment vertical="center"/>
    </xf>
    <xf numFmtId="3" fontId="3" fillId="18" borderId="17" xfId="0" applyNumberFormat="1" applyFont="1" applyFill="1" applyBorder="1" applyAlignment="1">
      <alignment vertical="center"/>
    </xf>
    <xf numFmtId="3" fontId="3" fillId="10" borderId="20" xfId="0" applyNumberFormat="1" applyFont="1" applyFill="1" applyBorder="1" applyAlignment="1">
      <alignment vertical="center"/>
    </xf>
    <xf numFmtId="3" fontId="0" fillId="3" borderId="1" xfId="0" applyNumberFormat="1" applyFill="1" applyBorder="1"/>
    <xf numFmtId="3" fontId="3" fillId="0" borderId="17" xfId="0" applyNumberFormat="1" applyFont="1" applyBorder="1" applyAlignment="1">
      <alignment vertical="center"/>
    </xf>
    <xf numFmtId="3" fontId="0" fillId="8" borderId="1" xfId="0" applyNumberFormat="1" applyFill="1" applyBorder="1"/>
    <xf numFmtId="3" fontId="10" fillId="10" borderId="1" xfId="0" applyNumberFormat="1" applyFont="1" applyFill="1" applyBorder="1"/>
    <xf numFmtId="0" fontId="0" fillId="19" borderId="1" xfId="0" applyFill="1" applyBorder="1" applyAlignment="1">
      <alignment horizontal="center" vertical="center"/>
    </xf>
    <xf numFmtId="3" fontId="3" fillId="17" borderId="17" xfId="0" applyNumberFormat="1" applyFont="1" applyFill="1" applyBorder="1" applyAlignment="1">
      <alignment vertical="center"/>
    </xf>
    <xf numFmtId="3" fontId="3" fillId="16" borderId="17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3" fontId="3" fillId="20" borderId="1" xfId="0" applyNumberFormat="1" applyFont="1" applyFill="1" applyBorder="1" applyAlignment="1">
      <alignment vertical="center"/>
    </xf>
    <xf numFmtId="0" fontId="20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" fontId="11" fillId="8" borderId="2" xfId="0" applyNumberFormat="1" applyFont="1" applyFill="1" applyBorder="1" applyAlignment="1">
      <alignment horizontal="left" vertical="center"/>
    </xf>
    <xf numFmtId="0" fontId="23" fillId="3" borderId="15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left" vertical="center"/>
    </xf>
    <xf numFmtId="0" fontId="11" fillId="8" borderId="26" xfId="0" applyFont="1" applyFill="1" applyBorder="1" applyAlignment="1">
      <alignment vertical="center"/>
    </xf>
    <xf numFmtId="0" fontId="8" fillId="2" borderId="3" xfId="0" applyFont="1" applyFill="1" applyBorder="1"/>
    <xf numFmtId="0" fontId="20" fillId="13" borderId="3" xfId="0" applyFont="1" applyFill="1" applyBorder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 wrapText="1"/>
    </xf>
    <xf numFmtId="0" fontId="20" fillId="13" borderId="5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3" borderId="5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20" fillId="13" borderId="3" xfId="0" applyFont="1" applyFill="1" applyBorder="1" applyAlignment="1">
      <alignment horizontal="left" vertical="center"/>
    </xf>
    <xf numFmtId="0" fontId="20" fillId="13" borderId="4" xfId="0" applyFont="1" applyFill="1" applyBorder="1" applyAlignment="1">
      <alignment horizontal="left" vertical="center"/>
    </xf>
    <xf numFmtId="0" fontId="20" fillId="13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20" fillId="13" borderId="10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19" fillId="8" borderId="0" xfId="0" applyNumberFormat="1" applyFont="1" applyFill="1" applyAlignment="1">
      <alignment horizontal="center" vertical="center"/>
    </xf>
    <xf numFmtId="1" fontId="11" fillId="8" borderId="12" xfId="0" applyNumberFormat="1" applyFont="1" applyFill="1" applyBorder="1" applyAlignment="1">
      <alignment horizontal="center" vertical="center"/>
    </xf>
    <xf numFmtId="1" fontId="11" fillId="8" borderId="13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8" borderId="16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7" borderId="18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20" borderId="1" xfId="0" applyFont="1" applyFill="1" applyBorder="1" applyAlignment="1">
      <alignment horizontal="left"/>
    </xf>
    <xf numFmtId="0" fontId="0" fillId="19" borderId="3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2" fontId="5" fillId="15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1"/>
  <sheetViews>
    <sheetView showGridLines="0" topLeftCell="A13" workbookViewId="0">
      <selection activeCell="P4" sqref="P4"/>
    </sheetView>
  </sheetViews>
  <sheetFormatPr defaultRowHeight="14.4" x14ac:dyDescent="0.3"/>
  <cols>
    <col min="1" max="1" width="1.6640625" customWidth="1"/>
    <col min="2" max="2" width="15.21875" bestFit="1" customWidth="1"/>
    <col min="3" max="3" width="11.5546875" bestFit="1" customWidth="1"/>
    <col min="4" max="4" width="10.77734375" bestFit="1" customWidth="1"/>
    <col min="5" max="5" width="16.77734375" customWidth="1"/>
    <col min="6" max="6" width="11.77734375" bestFit="1" customWidth="1"/>
    <col min="7" max="7" width="8.109375" bestFit="1" customWidth="1"/>
    <col min="8" max="8" width="10.21875" customWidth="1"/>
    <col min="9" max="9" width="1.6640625" customWidth="1"/>
    <col min="10" max="10" width="12.109375" customWidth="1"/>
    <col min="11" max="11" width="10" bestFit="1" customWidth="1"/>
    <col min="12" max="12" width="13.77734375" customWidth="1"/>
    <col min="13" max="13" width="4.88671875" bestFit="1" customWidth="1"/>
    <col min="14" max="14" width="10.33203125" customWidth="1"/>
    <col min="15" max="15" width="15.6640625" bestFit="1" customWidth="1"/>
    <col min="16" max="16" width="8.77734375" bestFit="1" customWidth="1"/>
    <col min="17" max="17" width="10.77734375" customWidth="1"/>
    <col min="18" max="18" width="11.6640625" bestFit="1" customWidth="1"/>
    <col min="19" max="19" width="14.6640625" customWidth="1"/>
  </cols>
  <sheetData>
    <row r="1" spans="2:19" ht="9.6" customHeight="1" x14ac:dyDescent="0.3"/>
    <row r="2" spans="2:19" ht="23.4" customHeight="1" x14ac:dyDescent="0.3">
      <c r="B2" s="87" t="s">
        <v>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2:19" ht="9.6" customHeight="1" x14ac:dyDescent="0.3">
      <c r="P3" s="101"/>
      <c r="Q3" s="101"/>
      <c r="R3" s="101"/>
      <c r="S3" s="101"/>
    </row>
    <row r="4" spans="2:19" ht="26.4" customHeight="1" x14ac:dyDescent="0.6">
      <c r="B4" s="96" t="s">
        <v>10</v>
      </c>
      <c r="C4" s="97"/>
      <c r="D4" s="97"/>
      <c r="E4" s="97"/>
      <c r="F4" s="97"/>
      <c r="G4" s="97"/>
      <c r="H4" s="97"/>
      <c r="J4" s="88" t="s">
        <v>11</v>
      </c>
      <c r="K4" s="88"/>
      <c r="L4" s="88"/>
      <c r="M4" s="88"/>
      <c r="N4" s="88"/>
      <c r="O4" s="88"/>
      <c r="Q4" s="80" t="s">
        <v>21</v>
      </c>
      <c r="R4" s="69"/>
      <c r="S4" s="70"/>
    </row>
    <row r="5" spans="2:19" ht="28.2" customHeight="1" x14ac:dyDescent="0.3">
      <c r="B5" s="1" t="s">
        <v>3</v>
      </c>
      <c r="C5" s="1" t="s">
        <v>8</v>
      </c>
      <c r="D5" s="1" t="s">
        <v>9</v>
      </c>
      <c r="E5" s="3" t="s">
        <v>13</v>
      </c>
      <c r="F5" s="72" t="s">
        <v>80</v>
      </c>
      <c r="G5" s="74" t="s">
        <v>79</v>
      </c>
      <c r="H5" s="1" t="s">
        <v>12</v>
      </c>
      <c r="J5" s="89" t="s">
        <v>19</v>
      </c>
      <c r="K5" s="90"/>
      <c r="L5" s="90"/>
      <c r="M5" s="90"/>
      <c r="N5" s="90"/>
      <c r="O5" s="91"/>
      <c r="Q5" s="65" t="s">
        <v>20</v>
      </c>
      <c r="R5" s="65"/>
      <c r="S5" s="50">
        <v>40</v>
      </c>
    </row>
    <row r="6" spans="2:19" ht="15.6" customHeight="1" x14ac:dyDescent="0.3">
      <c r="B6" s="68" t="s">
        <v>1</v>
      </c>
      <c r="C6" s="2">
        <v>430</v>
      </c>
      <c r="D6" s="76">
        <f>(F6/C6)*100</f>
        <v>16.666666666666668</v>
      </c>
      <c r="E6" s="2">
        <v>60</v>
      </c>
      <c r="F6" s="75">
        <f>(G6/E6%)</f>
        <v>71.666666666666671</v>
      </c>
      <c r="G6" s="77">
        <f>(H6/24)</f>
        <v>43</v>
      </c>
      <c r="H6" s="2">
        <v>1032</v>
      </c>
      <c r="J6" s="98" t="s">
        <v>16</v>
      </c>
      <c r="K6" s="99"/>
      <c r="L6" s="100"/>
      <c r="M6" s="2">
        <v>430</v>
      </c>
      <c r="N6" s="92" t="s">
        <v>18</v>
      </c>
      <c r="O6" s="93"/>
      <c r="Q6" s="81" t="s">
        <v>6</v>
      </c>
      <c r="R6" s="82"/>
      <c r="S6" s="50">
        <v>12</v>
      </c>
    </row>
    <row r="7" spans="2:19" ht="15.6" customHeight="1" thickBot="1" x14ac:dyDescent="0.35">
      <c r="B7" s="68" t="s">
        <v>4</v>
      </c>
      <c r="C7" s="2">
        <v>480</v>
      </c>
      <c r="D7" s="76">
        <f>(F7/C7)*100</f>
        <v>16.666666666666664</v>
      </c>
      <c r="E7" s="2">
        <v>30</v>
      </c>
      <c r="F7" s="75">
        <f t="shared" ref="F7:F8" si="0">(G7/E7%)</f>
        <v>80</v>
      </c>
      <c r="G7" s="77">
        <f t="shared" ref="G7:G8" si="1">(H7/24)</f>
        <v>24</v>
      </c>
      <c r="H7" s="2">
        <v>576</v>
      </c>
      <c r="J7" s="98" t="s">
        <v>17</v>
      </c>
      <c r="K7" s="99"/>
      <c r="L7" s="100"/>
      <c r="M7" s="73">
        <f>(M8/M6)*100</f>
        <v>17.441860465116278</v>
      </c>
      <c r="N7" s="94"/>
      <c r="O7" s="95"/>
      <c r="Q7" s="65" t="s">
        <v>22</v>
      </c>
      <c r="R7" s="65"/>
      <c r="S7" s="50">
        <v>100</v>
      </c>
    </row>
    <row r="8" spans="2:19" ht="26.4" thickBot="1" x14ac:dyDescent="0.35">
      <c r="B8" s="68" t="s">
        <v>5</v>
      </c>
      <c r="C8" s="2">
        <v>435</v>
      </c>
      <c r="D8" s="76">
        <f>(F8/C8)*100</f>
        <v>20.019157088122604</v>
      </c>
      <c r="E8" s="2">
        <v>10</v>
      </c>
      <c r="F8" s="75">
        <f t="shared" si="0"/>
        <v>87.083333333333329</v>
      </c>
      <c r="G8" s="77">
        <f t="shared" si="1"/>
        <v>8.7083333333333339</v>
      </c>
      <c r="H8" s="2">
        <v>209</v>
      </c>
      <c r="J8" s="98" t="s">
        <v>55</v>
      </c>
      <c r="K8" s="99"/>
      <c r="L8" s="100"/>
      <c r="M8" s="5">
        <v>75</v>
      </c>
      <c r="N8" s="78">
        <f>(M8*24)</f>
        <v>1800</v>
      </c>
      <c r="O8" s="79" t="s">
        <v>56</v>
      </c>
      <c r="Q8" s="83" t="s">
        <v>23</v>
      </c>
      <c r="R8" s="84"/>
      <c r="S8" s="50">
        <f>(S6*S5)*S7</f>
        <v>48000</v>
      </c>
    </row>
    <row r="9" spans="2:19" ht="22.2" customHeight="1" thickBot="1" x14ac:dyDescent="0.35">
      <c r="B9" s="107" t="s">
        <v>14</v>
      </c>
      <c r="C9" s="108"/>
      <c r="D9" s="108"/>
      <c r="E9" s="108"/>
      <c r="F9" s="108"/>
      <c r="G9" s="109"/>
      <c r="H9" s="6">
        <f>SUM(H6:H8)</f>
        <v>1817</v>
      </c>
      <c r="J9" s="104" t="s">
        <v>15</v>
      </c>
      <c r="K9" s="105"/>
      <c r="L9" s="106"/>
      <c r="M9" s="11">
        <f>(N8-N9)/24</f>
        <v>1.1666666666666667</v>
      </c>
      <c r="N9" s="71">
        <f>(S9+D19+G31)</f>
        <v>1772</v>
      </c>
      <c r="O9" s="46" t="s">
        <v>57</v>
      </c>
      <c r="Q9" s="85" t="s">
        <v>24</v>
      </c>
      <c r="R9" s="86"/>
      <c r="S9" s="39">
        <f>(S8/1000)</f>
        <v>48</v>
      </c>
    </row>
    <row r="10" spans="2:19" ht="5.4" customHeight="1" x14ac:dyDescent="0.3"/>
    <row r="11" spans="2:19" ht="27" customHeight="1" x14ac:dyDescent="0.6">
      <c r="B11" s="88" t="s">
        <v>32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N11" s="118" t="s">
        <v>78</v>
      </c>
      <c r="O11" s="118"/>
      <c r="P11" s="118"/>
      <c r="Q11" s="118"/>
      <c r="R11" s="118"/>
      <c r="S11" s="118"/>
    </row>
    <row r="12" spans="2:19" ht="15.6" x14ac:dyDescent="0.3">
      <c r="B12" s="1" t="s">
        <v>28</v>
      </c>
      <c r="C12" s="7" t="s">
        <v>25</v>
      </c>
      <c r="D12" s="7" t="s">
        <v>26</v>
      </c>
      <c r="E12" s="8" t="s">
        <v>27</v>
      </c>
      <c r="F12" s="7" t="s">
        <v>30</v>
      </c>
      <c r="G12" s="102" t="s">
        <v>29</v>
      </c>
      <c r="H12" s="102"/>
      <c r="I12" s="102" t="s">
        <v>31</v>
      </c>
      <c r="J12" s="102"/>
      <c r="K12" s="47" t="s">
        <v>49</v>
      </c>
      <c r="L12" s="47" t="s">
        <v>48</v>
      </c>
      <c r="N12" s="125" t="s">
        <v>66</v>
      </c>
      <c r="O12" s="126"/>
      <c r="P12" s="51" t="s">
        <v>62</v>
      </c>
      <c r="Q12" s="51" t="s">
        <v>64</v>
      </c>
      <c r="R12" s="51" t="s">
        <v>63</v>
      </c>
      <c r="S12" s="52" t="s">
        <v>65</v>
      </c>
    </row>
    <row r="13" spans="2:19" ht="27.6" x14ac:dyDescent="0.3">
      <c r="B13" s="66" t="s">
        <v>43</v>
      </c>
      <c r="C13" s="2">
        <v>400</v>
      </c>
      <c r="D13" s="2">
        <v>30.2</v>
      </c>
      <c r="E13" s="2">
        <v>30.2</v>
      </c>
      <c r="F13" s="2">
        <v>20</v>
      </c>
      <c r="G13" s="103">
        <f>(D13/C13)*1000</f>
        <v>75.5</v>
      </c>
      <c r="H13" s="103"/>
      <c r="I13" s="111">
        <f>(75*(1-(F13/3600)))/D13</f>
        <v>2.4696467991169979</v>
      </c>
      <c r="J13" s="111"/>
      <c r="K13" s="2">
        <v>10</v>
      </c>
      <c r="L13" s="31">
        <f>(I13*D13)*K13</f>
        <v>745.83333333333326</v>
      </c>
      <c r="N13" s="137" t="s">
        <v>67</v>
      </c>
      <c r="O13" s="138"/>
      <c r="P13" s="61">
        <f>$H$9</f>
        <v>1817</v>
      </c>
      <c r="Q13" s="61">
        <f>(P13*30)</f>
        <v>54510</v>
      </c>
      <c r="R13" s="61">
        <f>(P13*365)</f>
        <v>663205</v>
      </c>
      <c r="S13" s="61">
        <f>(R13*5)</f>
        <v>3316025</v>
      </c>
    </row>
    <row r="14" spans="2:19" ht="18" x14ac:dyDescent="0.3">
      <c r="B14" s="65" t="s">
        <v>44</v>
      </c>
      <c r="C14" s="2">
        <v>400</v>
      </c>
      <c r="D14" s="2">
        <v>50</v>
      </c>
      <c r="E14" s="2">
        <v>44.5</v>
      </c>
      <c r="F14" s="2">
        <v>30</v>
      </c>
      <c r="G14" s="103">
        <f t="shared" ref="G14:G16" si="2">(D14/C14)*1000</f>
        <v>125</v>
      </c>
      <c r="H14" s="103"/>
      <c r="I14" s="111">
        <f t="shared" ref="I14:I16" si="3">(75*(1-(F14/3600)))/D14</f>
        <v>1.4875</v>
      </c>
      <c r="J14" s="111"/>
      <c r="K14" s="2">
        <v>10</v>
      </c>
      <c r="L14" s="31">
        <f t="shared" ref="L14:L16" si="4">(I14*D14)*K14</f>
        <v>743.75</v>
      </c>
      <c r="N14" s="139" t="s">
        <v>1</v>
      </c>
      <c r="O14" s="140"/>
      <c r="P14" s="53">
        <f>H6</f>
        <v>1032</v>
      </c>
      <c r="Q14" s="53">
        <f t="shared" ref="Q14:Q16" si="5">(P14*30)</f>
        <v>30960</v>
      </c>
      <c r="R14" s="53">
        <f t="shared" ref="R14:R16" si="6">(P14*365)</f>
        <v>376680</v>
      </c>
      <c r="S14" s="53">
        <f t="shared" ref="S14:S16" si="7">(R14*5)</f>
        <v>1883400</v>
      </c>
    </row>
    <row r="15" spans="2:19" ht="18" x14ac:dyDescent="0.3">
      <c r="B15" s="65" t="s">
        <v>45</v>
      </c>
      <c r="C15" s="2">
        <v>400</v>
      </c>
      <c r="D15" s="2">
        <v>16.8</v>
      </c>
      <c r="E15" s="2">
        <v>26</v>
      </c>
      <c r="F15" s="2">
        <v>50</v>
      </c>
      <c r="G15" s="103">
        <f t="shared" si="2"/>
        <v>42</v>
      </c>
      <c r="H15" s="103"/>
      <c r="I15" s="111">
        <f t="shared" si="3"/>
        <v>4.402281746031746</v>
      </c>
      <c r="J15" s="111"/>
      <c r="K15" s="2">
        <v>10</v>
      </c>
      <c r="L15" s="31">
        <f t="shared" si="4"/>
        <v>739.58333333333348</v>
      </c>
      <c r="N15" s="139" t="s">
        <v>4</v>
      </c>
      <c r="O15" s="140"/>
      <c r="P15" s="53">
        <f>H7</f>
        <v>576</v>
      </c>
      <c r="Q15" s="53">
        <f t="shared" si="5"/>
        <v>17280</v>
      </c>
      <c r="R15" s="53">
        <f t="shared" si="6"/>
        <v>210240</v>
      </c>
      <c r="S15" s="53">
        <f t="shared" si="7"/>
        <v>1051200</v>
      </c>
    </row>
    <row r="16" spans="2:19" ht="18" x14ac:dyDescent="0.3">
      <c r="B16" s="67" t="s">
        <v>46</v>
      </c>
      <c r="C16" s="2">
        <v>400</v>
      </c>
      <c r="D16" s="2">
        <v>70</v>
      </c>
      <c r="E16" s="2">
        <v>60</v>
      </c>
      <c r="F16" s="2">
        <v>10</v>
      </c>
      <c r="G16" s="103">
        <f t="shared" si="2"/>
        <v>175</v>
      </c>
      <c r="H16" s="103"/>
      <c r="I16" s="111">
        <f t="shared" si="3"/>
        <v>1.0684523809523809</v>
      </c>
      <c r="J16" s="111"/>
      <c r="K16" s="2">
        <v>10</v>
      </c>
      <c r="L16" s="31">
        <f t="shared" si="4"/>
        <v>747.91666666666674</v>
      </c>
      <c r="N16" s="141" t="s">
        <v>5</v>
      </c>
      <c r="O16" s="142"/>
      <c r="P16" s="62">
        <f>H8</f>
        <v>209</v>
      </c>
      <c r="Q16" s="62">
        <f t="shared" si="5"/>
        <v>6270</v>
      </c>
      <c r="R16" s="62">
        <f t="shared" si="6"/>
        <v>76285</v>
      </c>
      <c r="S16" s="62">
        <f t="shared" si="7"/>
        <v>381425</v>
      </c>
    </row>
    <row r="17" spans="2:19" ht="31.8" thickBot="1" x14ac:dyDescent="0.35">
      <c r="B17" s="110" t="s">
        <v>47</v>
      </c>
      <c r="C17" s="110"/>
      <c r="D17" s="43">
        <f>SUM(D13:D16)</f>
        <v>167</v>
      </c>
      <c r="E17" s="127"/>
      <c r="F17" s="128"/>
      <c r="G17" s="110" t="s">
        <v>51</v>
      </c>
      <c r="H17" s="110"/>
      <c r="I17" s="131">
        <f>SUM(I13:J16)</f>
        <v>9.4278809261011265</v>
      </c>
      <c r="J17" s="132"/>
      <c r="K17" s="44" t="s">
        <v>50</v>
      </c>
      <c r="L17" s="45">
        <f>SUM(L13:L16)</f>
        <v>2977.0833333333339</v>
      </c>
      <c r="N17" s="133" t="s">
        <v>61</v>
      </c>
      <c r="O17" s="134"/>
      <c r="P17" s="53">
        <f>(P14+P15)</f>
        <v>1608</v>
      </c>
      <c r="Q17" s="53">
        <f>(Q14+Q15)</f>
        <v>48240</v>
      </c>
      <c r="R17" s="53">
        <f>(R14+R15)</f>
        <v>586920</v>
      </c>
      <c r="S17" s="53">
        <f>(S14+S15)</f>
        <v>2934600</v>
      </c>
    </row>
    <row r="18" spans="2:19" ht="7.2" customHeight="1" x14ac:dyDescent="0.3">
      <c r="N18" s="121"/>
      <c r="O18" s="122"/>
      <c r="P18" s="57"/>
      <c r="Q18" s="57"/>
      <c r="R18" s="57"/>
      <c r="S18" s="57"/>
    </row>
    <row r="19" spans="2:19" ht="28.8" x14ac:dyDescent="0.3">
      <c r="B19" s="129" t="str">
        <f>Sheet2!A44</f>
        <v>Total Power</v>
      </c>
      <c r="C19" s="104"/>
      <c r="D19" s="30">
        <f>Sheet2!D44</f>
        <v>1670</v>
      </c>
      <c r="E19" s="130" t="str">
        <f>Sheet2!E44</f>
        <v>KW power can charge / day</v>
      </c>
      <c r="F19" s="130"/>
      <c r="G19" s="106" t="str">
        <f>Sheet2!G44</f>
        <v>Total Time</v>
      </c>
      <c r="H19" s="104"/>
      <c r="I19" s="30">
        <f>Sheet2!I44</f>
        <v>94.278809261011247</v>
      </c>
      <c r="J19" s="41" t="str">
        <f>Sheet2!J44</f>
        <v>/ 96 hr</v>
      </c>
      <c r="K19" s="42" t="str">
        <f>Sheet2!K44</f>
        <v xml:space="preserve">Total Revenue </v>
      </c>
      <c r="L19" s="4">
        <f>Sheet2!L44</f>
        <v>26793.75</v>
      </c>
      <c r="N19" s="135" t="s">
        <v>81</v>
      </c>
      <c r="O19" s="136"/>
      <c r="P19" s="54">
        <f>(P13*12)</f>
        <v>21804</v>
      </c>
      <c r="Q19" s="54">
        <f t="shared" ref="Q19:S19" si="8">(Q13*12)</f>
        <v>654120</v>
      </c>
      <c r="R19" s="54">
        <f t="shared" si="8"/>
        <v>7958460</v>
      </c>
      <c r="S19" s="54">
        <f t="shared" si="8"/>
        <v>39792300</v>
      </c>
    </row>
    <row r="20" spans="2:19" ht="7.2" customHeight="1" x14ac:dyDescent="0.3">
      <c r="N20" s="123"/>
      <c r="O20" s="124"/>
      <c r="P20" s="57"/>
      <c r="Q20" s="57"/>
      <c r="R20" s="57"/>
      <c r="S20" s="57"/>
    </row>
    <row r="21" spans="2:19" ht="31.2" customHeight="1" x14ac:dyDescent="0.5">
      <c r="B21" s="115" t="s">
        <v>33</v>
      </c>
      <c r="C21" s="116"/>
      <c r="D21" s="116"/>
      <c r="E21" s="116"/>
      <c r="F21" s="116"/>
      <c r="G21" s="116"/>
      <c r="H21" s="116"/>
      <c r="I21" s="116"/>
      <c r="J21" s="116"/>
      <c r="K21" s="116"/>
      <c r="L21" s="117"/>
      <c r="N21" s="119" t="s">
        <v>82</v>
      </c>
      <c r="O21" s="120"/>
      <c r="P21" s="55">
        <f>(P17*12)</f>
        <v>19296</v>
      </c>
      <c r="Q21" s="55">
        <f t="shared" ref="Q21:S21" si="9">(Q17*12)</f>
        <v>578880</v>
      </c>
      <c r="R21" s="55">
        <f t="shared" si="9"/>
        <v>7043040</v>
      </c>
      <c r="S21" s="55">
        <f t="shared" si="9"/>
        <v>35215200</v>
      </c>
    </row>
    <row r="22" spans="2:19" ht="15.6" x14ac:dyDescent="0.3">
      <c r="B22" s="112" t="s">
        <v>34</v>
      </c>
      <c r="C22" s="112"/>
      <c r="D22" s="112"/>
      <c r="E22" s="112"/>
      <c r="F22" s="112"/>
      <c r="G22" s="49">
        <v>30</v>
      </c>
      <c r="N22" s="146" t="s">
        <v>68</v>
      </c>
      <c r="O22" s="146"/>
      <c r="P22" s="56">
        <f>(P19-P21)</f>
        <v>2508</v>
      </c>
      <c r="Q22" s="56">
        <f t="shared" ref="Q22:S22" si="10">(Q19-Q21)</f>
        <v>75240</v>
      </c>
      <c r="R22" s="56">
        <f t="shared" si="10"/>
        <v>915420</v>
      </c>
      <c r="S22" s="56">
        <f t="shared" si="10"/>
        <v>4577100</v>
      </c>
    </row>
    <row r="23" spans="2:19" ht="15.6" x14ac:dyDescent="0.3">
      <c r="B23" s="113" t="s">
        <v>40</v>
      </c>
      <c r="C23" s="113"/>
      <c r="D23" s="113"/>
      <c r="E23" s="113"/>
      <c r="F23" s="113"/>
      <c r="G23" s="2">
        <v>0</v>
      </c>
    </row>
    <row r="24" spans="2:19" ht="15.6" x14ac:dyDescent="0.3">
      <c r="B24" s="113" t="s">
        <v>41</v>
      </c>
      <c r="C24" s="113"/>
      <c r="D24" s="113"/>
      <c r="E24" s="113"/>
      <c r="F24" s="113"/>
      <c r="G24" s="2">
        <f>(G22-G23)</f>
        <v>30</v>
      </c>
    </row>
    <row r="25" spans="2:19" ht="18" x14ac:dyDescent="0.35">
      <c r="B25" s="113" t="s">
        <v>35</v>
      </c>
      <c r="C25" s="113"/>
      <c r="D25" s="113"/>
      <c r="E25" s="113"/>
      <c r="F25" s="113"/>
      <c r="G25" s="2">
        <v>12</v>
      </c>
      <c r="I25" s="114" t="s">
        <v>60</v>
      </c>
      <c r="J25" s="114"/>
      <c r="K25" s="114"/>
      <c r="L25" s="2">
        <f>(G24*3-G23*3)</f>
        <v>90</v>
      </c>
      <c r="N25" s="147" t="s">
        <v>75</v>
      </c>
      <c r="O25" s="147"/>
      <c r="P25" s="147"/>
      <c r="Q25" s="147"/>
      <c r="R25" s="147"/>
      <c r="S25" s="147"/>
    </row>
    <row r="26" spans="2:19" ht="15.6" x14ac:dyDescent="0.3">
      <c r="B26" s="113" t="s">
        <v>7</v>
      </c>
      <c r="C26" s="113"/>
      <c r="D26" s="113"/>
      <c r="E26" s="113"/>
      <c r="F26" s="113"/>
      <c r="G26" s="2">
        <v>10</v>
      </c>
      <c r="I26" s="114" t="s">
        <v>58</v>
      </c>
      <c r="J26" s="114"/>
      <c r="K26" s="114"/>
      <c r="L26" s="2">
        <v>30</v>
      </c>
      <c r="N26" s="150" t="s">
        <v>2</v>
      </c>
      <c r="O26" s="151"/>
      <c r="P26" s="60" t="s">
        <v>74</v>
      </c>
      <c r="Q26" s="60" t="s">
        <v>71</v>
      </c>
      <c r="R26" s="60" t="s">
        <v>72</v>
      </c>
      <c r="S26" s="60" t="s">
        <v>73</v>
      </c>
    </row>
    <row r="27" spans="2:19" ht="18" x14ac:dyDescent="0.3">
      <c r="B27" s="113" t="s">
        <v>39</v>
      </c>
      <c r="C27" s="113"/>
      <c r="D27" s="113"/>
      <c r="E27" s="113"/>
      <c r="F27" s="113"/>
      <c r="G27" s="2">
        <v>5</v>
      </c>
      <c r="I27" s="114" t="s">
        <v>59</v>
      </c>
      <c r="J27" s="114"/>
      <c r="K27" s="114"/>
      <c r="L27" s="36">
        <f>(L25*L26)</f>
        <v>2700</v>
      </c>
      <c r="N27" s="148" t="s">
        <v>69</v>
      </c>
      <c r="O27" s="148"/>
      <c r="P27" s="63">
        <f>$L$19</f>
        <v>26793.75</v>
      </c>
      <c r="Q27" s="63">
        <f>(P27*30)</f>
        <v>803812.5</v>
      </c>
      <c r="R27" s="63">
        <f>(P27*365)</f>
        <v>9779718.75</v>
      </c>
      <c r="S27" s="63">
        <f>(R27*5)</f>
        <v>48898593.75</v>
      </c>
    </row>
    <row r="28" spans="2:19" ht="18" x14ac:dyDescent="0.3">
      <c r="B28" s="113" t="s">
        <v>38</v>
      </c>
      <c r="C28" s="113"/>
      <c r="D28" s="113"/>
      <c r="E28" s="113"/>
      <c r="F28" s="113"/>
      <c r="G28" s="2">
        <v>3</v>
      </c>
      <c r="N28" s="149" t="s">
        <v>70</v>
      </c>
      <c r="O28" s="149"/>
      <c r="P28" s="64">
        <f>$L$27</f>
        <v>2700</v>
      </c>
      <c r="Q28" s="64">
        <f>(P28*30)</f>
        <v>81000</v>
      </c>
      <c r="R28" s="64">
        <f>(P28*365)</f>
        <v>985500</v>
      </c>
      <c r="S28" s="64">
        <f>(R28*5)</f>
        <v>4927500</v>
      </c>
    </row>
    <row r="29" spans="2:19" ht="18" x14ac:dyDescent="0.35">
      <c r="B29" s="113" t="s">
        <v>37</v>
      </c>
      <c r="C29" s="113"/>
      <c r="D29" s="113"/>
      <c r="E29" s="113"/>
      <c r="F29" s="113"/>
      <c r="G29" s="9">
        <f>(G25*G26)/1000</f>
        <v>0.12</v>
      </c>
      <c r="N29" s="143" t="s">
        <v>77</v>
      </c>
      <c r="O29" s="143"/>
      <c r="P29" s="58">
        <f>SUM(P27:P28)</f>
        <v>29493.75</v>
      </c>
      <c r="Q29" s="58">
        <f t="shared" ref="Q29:S29" si="11">SUM(Q27:Q28)</f>
        <v>884812.5</v>
      </c>
      <c r="R29" s="58">
        <f t="shared" si="11"/>
        <v>10765218.75</v>
      </c>
      <c r="S29" s="58">
        <f t="shared" si="11"/>
        <v>53826093.75</v>
      </c>
    </row>
    <row r="30" spans="2:19" ht="18.600000000000001" thickBot="1" x14ac:dyDescent="0.4">
      <c r="B30" s="113" t="s">
        <v>36</v>
      </c>
      <c r="C30" s="113"/>
      <c r="D30" s="113"/>
      <c r="E30" s="113"/>
      <c r="F30" s="113"/>
      <c r="G30" s="10">
        <f>(G29*G27*G24)</f>
        <v>18</v>
      </c>
      <c r="N30" s="144" t="s">
        <v>68</v>
      </c>
      <c r="O30" s="144"/>
      <c r="P30" s="56">
        <f t="shared" ref="P30:S30" si="12">P22</f>
        <v>2508</v>
      </c>
      <c r="Q30" s="56">
        <f t="shared" si="12"/>
        <v>75240</v>
      </c>
      <c r="R30" s="56">
        <f t="shared" si="12"/>
        <v>915420</v>
      </c>
      <c r="S30" s="56">
        <f t="shared" si="12"/>
        <v>4577100</v>
      </c>
    </row>
    <row r="31" spans="2:19" ht="24" thickBot="1" x14ac:dyDescent="0.4">
      <c r="B31" s="113" t="s">
        <v>42</v>
      </c>
      <c r="C31" s="113"/>
      <c r="D31" s="113"/>
      <c r="E31" s="113"/>
      <c r="F31" s="98"/>
      <c r="G31" s="48">
        <f>(G28*G30)</f>
        <v>54</v>
      </c>
      <c r="N31" s="145" t="s">
        <v>76</v>
      </c>
      <c r="O31" s="145"/>
      <c r="P31" s="59">
        <f>(P29-P30)</f>
        <v>26985.75</v>
      </c>
      <c r="Q31" s="59">
        <f t="shared" ref="Q31:S31" si="13">(Q29-Q30)</f>
        <v>809572.5</v>
      </c>
      <c r="R31" s="59">
        <f t="shared" si="13"/>
        <v>9849798.75</v>
      </c>
      <c r="S31" s="59">
        <f t="shared" si="13"/>
        <v>49248993.75</v>
      </c>
    </row>
  </sheetData>
  <mergeCells count="65">
    <mergeCell ref="N29:O29"/>
    <mergeCell ref="N30:O30"/>
    <mergeCell ref="N31:O31"/>
    <mergeCell ref="N22:O22"/>
    <mergeCell ref="N25:S25"/>
    <mergeCell ref="N27:O27"/>
    <mergeCell ref="N28:O28"/>
    <mergeCell ref="N26:O26"/>
    <mergeCell ref="N17:O17"/>
    <mergeCell ref="N19:O19"/>
    <mergeCell ref="N13:O13"/>
    <mergeCell ref="N14:O14"/>
    <mergeCell ref="N15:O15"/>
    <mergeCell ref="N16:O16"/>
    <mergeCell ref="I27:K27"/>
    <mergeCell ref="B21:L21"/>
    <mergeCell ref="N11:S11"/>
    <mergeCell ref="N21:O21"/>
    <mergeCell ref="N18:O18"/>
    <mergeCell ref="N20:O20"/>
    <mergeCell ref="N12:O12"/>
    <mergeCell ref="G19:H19"/>
    <mergeCell ref="I25:K25"/>
    <mergeCell ref="I26:K26"/>
    <mergeCell ref="B11:L11"/>
    <mergeCell ref="E17:F17"/>
    <mergeCell ref="B19:C19"/>
    <mergeCell ref="E19:F19"/>
    <mergeCell ref="G17:H17"/>
    <mergeCell ref="I17:J17"/>
    <mergeCell ref="B27:F27"/>
    <mergeCell ref="B29:F29"/>
    <mergeCell ref="B30:F30"/>
    <mergeCell ref="B28:F28"/>
    <mergeCell ref="B31:F31"/>
    <mergeCell ref="B22:F22"/>
    <mergeCell ref="B23:F23"/>
    <mergeCell ref="B24:F24"/>
    <mergeCell ref="B25:F25"/>
    <mergeCell ref="B26:F26"/>
    <mergeCell ref="B17:C17"/>
    <mergeCell ref="G16:H16"/>
    <mergeCell ref="I13:J13"/>
    <mergeCell ref="I14:J14"/>
    <mergeCell ref="I15:J15"/>
    <mergeCell ref="I16:J16"/>
    <mergeCell ref="G15:H15"/>
    <mergeCell ref="I12:J12"/>
    <mergeCell ref="G12:H12"/>
    <mergeCell ref="G13:H13"/>
    <mergeCell ref="G14:H14"/>
    <mergeCell ref="J9:L9"/>
    <mergeCell ref="B9:G9"/>
    <mergeCell ref="Q6:R6"/>
    <mergeCell ref="Q8:R8"/>
    <mergeCell ref="Q9:R9"/>
    <mergeCell ref="B2:S2"/>
    <mergeCell ref="J4:O4"/>
    <mergeCell ref="J5:O5"/>
    <mergeCell ref="N6:O7"/>
    <mergeCell ref="B4:H4"/>
    <mergeCell ref="J6:L6"/>
    <mergeCell ref="J7:L7"/>
    <mergeCell ref="J8:L8"/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C38F-5DFB-4CE4-9A5D-87B853158E59}">
  <dimension ref="A3:L47"/>
  <sheetViews>
    <sheetView tabSelected="1" topLeftCell="A35" workbookViewId="0">
      <selection activeCell="M46" sqref="M46"/>
    </sheetView>
  </sheetViews>
  <sheetFormatPr defaultRowHeight="14.4" x14ac:dyDescent="0.3"/>
  <cols>
    <col min="1" max="1" width="8.88671875" style="13"/>
    <col min="2" max="2" width="20.88671875" style="14" customWidth="1"/>
    <col min="3" max="3" width="9.6640625" bestFit="1" customWidth="1"/>
    <col min="4" max="4" width="10.21875" bestFit="1" customWidth="1"/>
    <col min="5" max="5" width="16.6640625" bestFit="1" customWidth="1"/>
    <col min="6" max="6" width="11.77734375" bestFit="1" customWidth="1"/>
    <col min="11" max="11" width="15" bestFit="1" customWidth="1"/>
    <col min="12" max="12" width="10.88671875" bestFit="1" customWidth="1"/>
  </cols>
  <sheetData>
    <row r="3" spans="1:12" ht="15.6" x14ac:dyDescent="0.3">
      <c r="A3" s="16" t="s">
        <v>52</v>
      </c>
      <c r="B3" s="17" t="s">
        <v>28</v>
      </c>
      <c r="C3" s="7" t="s">
        <v>25</v>
      </c>
      <c r="D3" s="7" t="s">
        <v>26</v>
      </c>
      <c r="E3" s="8" t="s">
        <v>27</v>
      </c>
      <c r="F3" s="7" t="s">
        <v>30</v>
      </c>
      <c r="G3" s="102" t="s">
        <v>29</v>
      </c>
      <c r="H3" s="102"/>
      <c r="I3" s="102" t="s">
        <v>31</v>
      </c>
      <c r="J3" s="102"/>
      <c r="K3" s="102" t="s">
        <v>49</v>
      </c>
      <c r="L3" s="102" t="s">
        <v>48</v>
      </c>
    </row>
    <row r="4" spans="1:12" ht="15.6" x14ac:dyDescent="0.3">
      <c r="A4" s="18">
        <v>1</v>
      </c>
      <c r="B4" s="19" t="s">
        <v>43</v>
      </c>
      <c r="C4" s="20">
        <v>400</v>
      </c>
      <c r="D4" s="20">
        <v>30.2</v>
      </c>
      <c r="E4" s="20">
        <v>30.2</v>
      </c>
      <c r="F4" s="20">
        <v>20</v>
      </c>
      <c r="G4" s="103">
        <f>(D4/C4)*1000</f>
        <v>75.5</v>
      </c>
      <c r="H4" s="103"/>
      <c r="I4" s="111">
        <f>(75*(1-(F4/3600)))/D4</f>
        <v>2.4696467991169979</v>
      </c>
      <c r="J4" s="111"/>
      <c r="K4" s="20">
        <v>10</v>
      </c>
      <c r="L4" s="31">
        <f>(I4*D4)*K4</f>
        <v>745.83333333333326</v>
      </c>
    </row>
    <row r="5" spans="1:12" ht="15.6" x14ac:dyDescent="0.3">
      <c r="A5" s="18">
        <v>2</v>
      </c>
      <c r="B5" s="19" t="s">
        <v>44</v>
      </c>
      <c r="C5" s="20">
        <v>400</v>
      </c>
      <c r="D5" s="20">
        <v>50</v>
      </c>
      <c r="E5" s="20">
        <v>44.5</v>
      </c>
      <c r="F5" s="20">
        <v>30</v>
      </c>
      <c r="G5" s="103">
        <f t="shared" ref="G5:G7" si="0">(D5/C5)*1000</f>
        <v>125</v>
      </c>
      <c r="H5" s="103"/>
      <c r="I5" s="111">
        <f t="shared" ref="I5:I7" si="1">(75*(1-(F5/3600)))/D5</f>
        <v>1.4875</v>
      </c>
      <c r="J5" s="111"/>
      <c r="K5" s="20">
        <v>10</v>
      </c>
      <c r="L5" s="31">
        <f t="shared" ref="L5:L7" si="2">(I5*D5)*K5</f>
        <v>743.75</v>
      </c>
    </row>
    <row r="6" spans="1:12" ht="15.6" x14ac:dyDescent="0.3">
      <c r="A6" s="18">
        <v>3</v>
      </c>
      <c r="B6" s="19" t="s">
        <v>45</v>
      </c>
      <c r="C6" s="20">
        <v>400</v>
      </c>
      <c r="D6" s="20">
        <v>16.8</v>
      </c>
      <c r="E6" s="20">
        <v>26</v>
      </c>
      <c r="F6" s="20">
        <v>50</v>
      </c>
      <c r="G6" s="103">
        <f t="shared" si="0"/>
        <v>42</v>
      </c>
      <c r="H6" s="103"/>
      <c r="I6" s="111">
        <f t="shared" si="1"/>
        <v>4.402281746031746</v>
      </c>
      <c r="J6" s="111"/>
      <c r="K6" s="20">
        <v>10</v>
      </c>
      <c r="L6" s="31">
        <f t="shared" si="2"/>
        <v>739.58333333333348</v>
      </c>
    </row>
    <row r="7" spans="1:12" ht="15.6" x14ac:dyDescent="0.3">
      <c r="A7" s="18">
        <v>4</v>
      </c>
      <c r="B7" s="19" t="s">
        <v>46</v>
      </c>
      <c r="C7" s="20">
        <v>400</v>
      </c>
      <c r="D7" s="20">
        <v>70</v>
      </c>
      <c r="E7" s="20">
        <v>60</v>
      </c>
      <c r="F7" s="20">
        <v>10</v>
      </c>
      <c r="G7" s="103">
        <f t="shared" si="0"/>
        <v>175</v>
      </c>
      <c r="H7" s="103"/>
      <c r="I7" s="111">
        <f t="shared" si="1"/>
        <v>1.0684523809523809</v>
      </c>
      <c r="J7" s="111"/>
      <c r="K7" s="20">
        <v>10</v>
      </c>
      <c r="L7" s="31">
        <f t="shared" si="2"/>
        <v>747.91666666666674</v>
      </c>
    </row>
    <row r="8" spans="1:12" ht="15.6" x14ac:dyDescent="0.3">
      <c r="A8" s="18">
        <v>5</v>
      </c>
      <c r="B8" s="19" t="s">
        <v>43</v>
      </c>
      <c r="C8" s="20">
        <v>400</v>
      </c>
      <c r="D8" s="20">
        <v>30.2</v>
      </c>
      <c r="E8" s="20">
        <v>30.2</v>
      </c>
      <c r="F8" s="20">
        <v>20</v>
      </c>
      <c r="G8" s="103">
        <f>(D8/C8)*1000</f>
        <v>75.5</v>
      </c>
      <c r="H8" s="103"/>
      <c r="I8" s="111">
        <f>(75*(1-(F8/3600)))/D8</f>
        <v>2.4696467991169979</v>
      </c>
      <c r="J8" s="111"/>
      <c r="K8" s="20">
        <v>10</v>
      </c>
      <c r="L8" s="31">
        <f>(I8*D8)*K8</f>
        <v>745.83333333333326</v>
      </c>
    </row>
    <row r="9" spans="1:12" ht="15.6" x14ac:dyDescent="0.3">
      <c r="A9" s="18">
        <v>6</v>
      </c>
      <c r="B9" s="19" t="s">
        <v>44</v>
      </c>
      <c r="C9" s="20">
        <v>400</v>
      </c>
      <c r="D9" s="20">
        <v>50</v>
      </c>
      <c r="E9" s="20">
        <v>44.5</v>
      </c>
      <c r="F9" s="20">
        <v>30</v>
      </c>
      <c r="G9" s="103">
        <f t="shared" ref="G9:G11" si="3">(D9/C9)*1000</f>
        <v>125</v>
      </c>
      <c r="H9" s="103"/>
      <c r="I9" s="111">
        <f t="shared" ref="I9:I11" si="4">(75*(1-(F9/3600)))/D9</f>
        <v>1.4875</v>
      </c>
      <c r="J9" s="111"/>
      <c r="K9" s="20">
        <v>10</v>
      </c>
      <c r="L9" s="31">
        <f t="shared" ref="L9:L11" si="5">(I9*D9)*K9</f>
        <v>743.75</v>
      </c>
    </row>
    <row r="10" spans="1:12" ht="15.6" x14ac:dyDescent="0.3">
      <c r="A10" s="18">
        <v>7</v>
      </c>
      <c r="B10" s="19" t="s">
        <v>45</v>
      </c>
      <c r="C10" s="20">
        <v>400</v>
      </c>
      <c r="D10" s="20">
        <v>16.8</v>
      </c>
      <c r="E10" s="20">
        <v>26</v>
      </c>
      <c r="F10" s="20">
        <v>50</v>
      </c>
      <c r="G10" s="103">
        <f t="shared" si="3"/>
        <v>42</v>
      </c>
      <c r="H10" s="103"/>
      <c r="I10" s="111">
        <f t="shared" si="4"/>
        <v>4.402281746031746</v>
      </c>
      <c r="J10" s="111"/>
      <c r="K10" s="20">
        <v>10</v>
      </c>
      <c r="L10" s="31">
        <f t="shared" si="5"/>
        <v>739.58333333333348</v>
      </c>
    </row>
    <row r="11" spans="1:12" ht="15.6" x14ac:dyDescent="0.3">
      <c r="A11" s="18">
        <v>8</v>
      </c>
      <c r="B11" s="19" t="s">
        <v>46</v>
      </c>
      <c r="C11" s="20">
        <v>400</v>
      </c>
      <c r="D11" s="20">
        <v>70</v>
      </c>
      <c r="E11" s="20">
        <v>60</v>
      </c>
      <c r="F11" s="20">
        <v>10</v>
      </c>
      <c r="G11" s="103">
        <f t="shared" si="3"/>
        <v>175</v>
      </c>
      <c r="H11" s="103"/>
      <c r="I11" s="111">
        <f t="shared" si="4"/>
        <v>1.0684523809523809</v>
      </c>
      <c r="J11" s="111"/>
      <c r="K11" s="20">
        <v>10</v>
      </c>
      <c r="L11" s="31">
        <f t="shared" si="5"/>
        <v>747.91666666666674</v>
      </c>
    </row>
    <row r="12" spans="1:12" ht="15.6" x14ac:dyDescent="0.3">
      <c r="A12" s="18">
        <v>9</v>
      </c>
      <c r="B12" s="24" t="s">
        <v>43</v>
      </c>
      <c r="C12" s="25">
        <v>400</v>
      </c>
      <c r="D12" s="25">
        <v>30.2</v>
      </c>
      <c r="E12" s="25">
        <v>30.2</v>
      </c>
      <c r="F12" s="25">
        <v>20</v>
      </c>
      <c r="G12" s="152">
        <f>(D12/C12)*1000</f>
        <v>75.5</v>
      </c>
      <c r="H12" s="152"/>
      <c r="I12" s="153">
        <f>(75*(1-(F12/3600)))/D12</f>
        <v>2.4696467991169979</v>
      </c>
      <c r="J12" s="153"/>
      <c r="K12" s="25">
        <v>10</v>
      </c>
      <c r="L12" s="32">
        <f>(I12*D12)*K12</f>
        <v>745.83333333333326</v>
      </c>
    </row>
    <row r="13" spans="1:12" ht="15.6" x14ac:dyDescent="0.3">
      <c r="A13" s="18">
        <v>10</v>
      </c>
      <c r="B13" s="24" t="s">
        <v>44</v>
      </c>
      <c r="C13" s="25">
        <v>400</v>
      </c>
      <c r="D13" s="25">
        <v>50</v>
      </c>
      <c r="E13" s="25">
        <v>44.5</v>
      </c>
      <c r="F13" s="25">
        <v>30</v>
      </c>
      <c r="G13" s="152">
        <f t="shared" ref="G13:G15" si="6">(D13/C13)*1000</f>
        <v>125</v>
      </c>
      <c r="H13" s="152"/>
      <c r="I13" s="153">
        <f t="shared" ref="I13:I15" si="7">(75*(1-(F13/3600)))/D13</f>
        <v>1.4875</v>
      </c>
      <c r="J13" s="153"/>
      <c r="K13" s="25">
        <v>10</v>
      </c>
      <c r="L13" s="32">
        <f t="shared" ref="L13:L15" si="8">(I13*D13)*K13</f>
        <v>743.75</v>
      </c>
    </row>
    <row r="14" spans="1:12" ht="15.6" x14ac:dyDescent="0.3">
      <c r="A14" s="18">
        <v>11</v>
      </c>
      <c r="B14" s="24" t="s">
        <v>45</v>
      </c>
      <c r="C14" s="25">
        <v>400</v>
      </c>
      <c r="D14" s="25">
        <v>16.8</v>
      </c>
      <c r="E14" s="25">
        <v>26</v>
      </c>
      <c r="F14" s="25">
        <v>50</v>
      </c>
      <c r="G14" s="152">
        <f t="shared" si="6"/>
        <v>42</v>
      </c>
      <c r="H14" s="152"/>
      <c r="I14" s="153">
        <f t="shared" si="7"/>
        <v>4.402281746031746</v>
      </c>
      <c r="J14" s="153"/>
      <c r="K14" s="25">
        <v>10</v>
      </c>
      <c r="L14" s="32">
        <f t="shared" si="8"/>
        <v>739.58333333333348</v>
      </c>
    </row>
    <row r="15" spans="1:12" ht="15.6" x14ac:dyDescent="0.3">
      <c r="A15" s="18">
        <v>12</v>
      </c>
      <c r="B15" s="24" t="s">
        <v>46</v>
      </c>
      <c r="C15" s="25">
        <v>400</v>
      </c>
      <c r="D15" s="25">
        <v>70</v>
      </c>
      <c r="E15" s="25">
        <v>60</v>
      </c>
      <c r="F15" s="25">
        <v>10</v>
      </c>
      <c r="G15" s="152">
        <f t="shared" si="6"/>
        <v>175</v>
      </c>
      <c r="H15" s="152"/>
      <c r="I15" s="153">
        <f t="shared" si="7"/>
        <v>1.0684523809523809</v>
      </c>
      <c r="J15" s="153"/>
      <c r="K15" s="25">
        <v>10</v>
      </c>
      <c r="L15" s="32">
        <f t="shared" si="8"/>
        <v>747.91666666666674</v>
      </c>
    </row>
    <row r="16" spans="1:12" ht="15.6" x14ac:dyDescent="0.3">
      <c r="A16" s="18">
        <v>13</v>
      </c>
      <c r="B16" s="24" t="s">
        <v>43</v>
      </c>
      <c r="C16" s="25">
        <v>400</v>
      </c>
      <c r="D16" s="25">
        <v>30.2</v>
      </c>
      <c r="E16" s="25">
        <v>30.2</v>
      </c>
      <c r="F16" s="25">
        <v>20</v>
      </c>
      <c r="G16" s="152">
        <f>(D16/C16)*1000</f>
        <v>75.5</v>
      </c>
      <c r="H16" s="152"/>
      <c r="I16" s="153">
        <f>(75*(1-(F16/3600)))/D16</f>
        <v>2.4696467991169979</v>
      </c>
      <c r="J16" s="153"/>
      <c r="K16" s="25">
        <v>10</v>
      </c>
      <c r="L16" s="32">
        <f>(I16*D16)*K16</f>
        <v>745.83333333333326</v>
      </c>
    </row>
    <row r="17" spans="1:12" ht="15.6" x14ac:dyDescent="0.3">
      <c r="A17" s="18">
        <v>14</v>
      </c>
      <c r="B17" s="19" t="s">
        <v>44</v>
      </c>
      <c r="C17" s="20">
        <v>400</v>
      </c>
      <c r="D17" s="20">
        <v>50</v>
      </c>
      <c r="E17" s="20">
        <v>44.5</v>
      </c>
      <c r="F17" s="20">
        <v>30</v>
      </c>
      <c r="G17" s="103">
        <f t="shared" ref="G17:G19" si="9">(D17/C17)*1000</f>
        <v>125</v>
      </c>
      <c r="H17" s="103"/>
      <c r="I17" s="111">
        <f t="shared" ref="I17:I19" si="10">(75*(1-(F17/3600)))/D17</f>
        <v>1.4875</v>
      </c>
      <c r="J17" s="111"/>
      <c r="K17" s="20">
        <v>10</v>
      </c>
      <c r="L17" s="31">
        <f t="shared" ref="L17:L19" si="11">(I17*D17)*K17</f>
        <v>743.75</v>
      </c>
    </row>
    <row r="18" spans="1:12" ht="15.6" x14ac:dyDescent="0.3">
      <c r="A18" s="18">
        <v>15</v>
      </c>
      <c r="B18" s="19" t="s">
        <v>45</v>
      </c>
      <c r="C18" s="20">
        <v>400</v>
      </c>
      <c r="D18" s="20">
        <v>16.8</v>
      </c>
      <c r="E18" s="20">
        <v>26</v>
      </c>
      <c r="F18" s="20">
        <v>50</v>
      </c>
      <c r="G18" s="103">
        <f t="shared" si="9"/>
        <v>42</v>
      </c>
      <c r="H18" s="103"/>
      <c r="I18" s="111">
        <f t="shared" si="10"/>
        <v>4.402281746031746</v>
      </c>
      <c r="J18" s="111"/>
      <c r="K18" s="20">
        <v>10</v>
      </c>
      <c r="L18" s="31">
        <f t="shared" si="11"/>
        <v>739.58333333333348</v>
      </c>
    </row>
    <row r="19" spans="1:12" ht="15.6" x14ac:dyDescent="0.3">
      <c r="A19" s="18">
        <v>16</v>
      </c>
      <c r="B19" s="19" t="s">
        <v>46</v>
      </c>
      <c r="C19" s="20">
        <v>400</v>
      </c>
      <c r="D19" s="20">
        <v>70</v>
      </c>
      <c r="E19" s="20">
        <v>60</v>
      </c>
      <c r="F19" s="20">
        <v>10</v>
      </c>
      <c r="G19" s="103">
        <f t="shared" si="9"/>
        <v>175</v>
      </c>
      <c r="H19" s="103"/>
      <c r="I19" s="111">
        <f t="shared" si="10"/>
        <v>1.0684523809523809</v>
      </c>
      <c r="J19" s="111"/>
      <c r="K19" s="20">
        <v>10</v>
      </c>
      <c r="L19" s="31">
        <f t="shared" si="11"/>
        <v>747.91666666666674</v>
      </c>
    </row>
    <row r="20" spans="1:12" ht="15.6" x14ac:dyDescent="0.3">
      <c r="A20" s="18">
        <v>17</v>
      </c>
      <c r="B20" s="28" t="s">
        <v>43</v>
      </c>
      <c r="C20" s="29">
        <v>400</v>
      </c>
      <c r="D20" s="29">
        <v>30.2</v>
      </c>
      <c r="E20" s="29">
        <v>30.2</v>
      </c>
      <c r="F20" s="29">
        <v>20</v>
      </c>
      <c r="G20" s="154">
        <f>(D20/C20)*1000</f>
        <v>75.5</v>
      </c>
      <c r="H20" s="154"/>
      <c r="I20" s="155">
        <f>(75*(1-(F20/3600)))/D20</f>
        <v>2.4696467991169979</v>
      </c>
      <c r="J20" s="155"/>
      <c r="K20" s="29">
        <v>10</v>
      </c>
      <c r="L20" s="33">
        <f>(I20*D20)*K20</f>
        <v>745.83333333333326</v>
      </c>
    </row>
    <row r="21" spans="1:12" ht="15.6" x14ac:dyDescent="0.3">
      <c r="A21" s="18">
        <v>18</v>
      </c>
      <c r="B21" s="28" t="s">
        <v>44</v>
      </c>
      <c r="C21" s="29">
        <v>400</v>
      </c>
      <c r="D21" s="29">
        <v>50</v>
      </c>
      <c r="E21" s="29">
        <v>44.5</v>
      </c>
      <c r="F21" s="29">
        <v>30</v>
      </c>
      <c r="G21" s="154">
        <f t="shared" ref="G21:G23" si="12">(D21/C21)*1000</f>
        <v>125</v>
      </c>
      <c r="H21" s="154"/>
      <c r="I21" s="155">
        <f t="shared" ref="I21:I23" si="13">(75*(1-(F21/3600)))/D21</f>
        <v>1.4875</v>
      </c>
      <c r="J21" s="155"/>
      <c r="K21" s="29">
        <v>10</v>
      </c>
      <c r="L21" s="33">
        <f t="shared" ref="L21:L23" si="14">(I21*D21)*K21</f>
        <v>743.75</v>
      </c>
    </row>
    <row r="22" spans="1:12" ht="15.6" x14ac:dyDescent="0.3">
      <c r="A22" s="18">
        <v>19</v>
      </c>
      <c r="B22" s="28" t="s">
        <v>45</v>
      </c>
      <c r="C22" s="29">
        <v>400</v>
      </c>
      <c r="D22" s="29">
        <v>16.8</v>
      </c>
      <c r="E22" s="29">
        <v>26</v>
      </c>
      <c r="F22" s="29">
        <v>50</v>
      </c>
      <c r="G22" s="154">
        <f t="shared" si="12"/>
        <v>42</v>
      </c>
      <c r="H22" s="154"/>
      <c r="I22" s="155">
        <f t="shared" si="13"/>
        <v>4.402281746031746</v>
      </c>
      <c r="J22" s="155"/>
      <c r="K22" s="29">
        <v>10</v>
      </c>
      <c r="L22" s="33">
        <f t="shared" si="14"/>
        <v>739.58333333333348</v>
      </c>
    </row>
    <row r="23" spans="1:12" ht="15.6" x14ac:dyDescent="0.3">
      <c r="A23" s="18">
        <v>20</v>
      </c>
      <c r="B23" s="28" t="s">
        <v>46</v>
      </c>
      <c r="C23" s="29">
        <v>400</v>
      </c>
      <c r="D23" s="29">
        <v>70</v>
      </c>
      <c r="E23" s="29">
        <v>60</v>
      </c>
      <c r="F23" s="29">
        <v>10</v>
      </c>
      <c r="G23" s="154">
        <f t="shared" si="12"/>
        <v>175</v>
      </c>
      <c r="H23" s="154"/>
      <c r="I23" s="155">
        <f t="shared" si="13"/>
        <v>1.0684523809523809</v>
      </c>
      <c r="J23" s="155"/>
      <c r="K23" s="29">
        <v>10</v>
      </c>
      <c r="L23" s="33">
        <f t="shared" si="14"/>
        <v>747.91666666666674</v>
      </c>
    </row>
    <row r="24" spans="1:12" ht="15.6" x14ac:dyDescent="0.3">
      <c r="A24" s="18">
        <v>21</v>
      </c>
      <c r="B24" s="26" t="s">
        <v>43</v>
      </c>
      <c r="C24" s="27">
        <v>400</v>
      </c>
      <c r="D24" s="27">
        <v>30.2</v>
      </c>
      <c r="E24" s="27">
        <v>30.2</v>
      </c>
      <c r="F24" s="27">
        <v>20</v>
      </c>
      <c r="G24" s="156">
        <f>(D24/C24)*1000</f>
        <v>75.5</v>
      </c>
      <c r="H24" s="156"/>
      <c r="I24" s="157">
        <f>(75*(1-(F24/3600)))/D24</f>
        <v>2.4696467991169979</v>
      </c>
      <c r="J24" s="157"/>
      <c r="K24" s="27">
        <v>10</v>
      </c>
      <c r="L24" s="34">
        <f>(I24*D24)*K24</f>
        <v>745.83333333333326</v>
      </c>
    </row>
    <row r="25" spans="1:12" ht="15.6" x14ac:dyDescent="0.3">
      <c r="A25" s="18">
        <v>22</v>
      </c>
      <c r="B25" s="26" t="s">
        <v>44</v>
      </c>
      <c r="C25" s="27">
        <v>400</v>
      </c>
      <c r="D25" s="27">
        <v>50</v>
      </c>
      <c r="E25" s="27">
        <v>44.5</v>
      </c>
      <c r="F25" s="27">
        <v>30</v>
      </c>
      <c r="G25" s="156">
        <f t="shared" ref="G25:G27" si="15">(D25/C25)*1000</f>
        <v>125</v>
      </c>
      <c r="H25" s="156"/>
      <c r="I25" s="157">
        <f t="shared" ref="I25:I27" si="16">(75*(1-(F25/3600)))/D25</f>
        <v>1.4875</v>
      </c>
      <c r="J25" s="157"/>
      <c r="K25" s="27">
        <v>10</v>
      </c>
      <c r="L25" s="34">
        <f t="shared" ref="L25:L27" si="17">(I25*D25)*K25</f>
        <v>743.75</v>
      </c>
    </row>
    <row r="26" spans="1:12" ht="15.6" x14ac:dyDescent="0.3">
      <c r="A26" s="18">
        <v>23</v>
      </c>
      <c r="B26" s="26" t="s">
        <v>45</v>
      </c>
      <c r="C26" s="27">
        <v>400</v>
      </c>
      <c r="D26" s="27">
        <v>16.8</v>
      </c>
      <c r="E26" s="27">
        <v>26</v>
      </c>
      <c r="F26" s="27">
        <v>50</v>
      </c>
      <c r="G26" s="156">
        <f t="shared" si="15"/>
        <v>42</v>
      </c>
      <c r="H26" s="156"/>
      <c r="I26" s="157">
        <f t="shared" si="16"/>
        <v>4.402281746031746</v>
      </c>
      <c r="J26" s="157"/>
      <c r="K26" s="27">
        <v>10</v>
      </c>
      <c r="L26" s="34">
        <f t="shared" si="17"/>
        <v>739.58333333333348</v>
      </c>
    </row>
    <row r="27" spans="1:12" ht="15.6" x14ac:dyDescent="0.3">
      <c r="A27" s="18">
        <v>24</v>
      </c>
      <c r="B27" s="26" t="s">
        <v>46</v>
      </c>
      <c r="C27" s="27">
        <v>400</v>
      </c>
      <c r="D27" s="27">
        <v>70</v>
      </c>
      <c r="E27" s="27">
        <v>60</v>
      </c>
      <c r="F27" s="27">
        <v>10</v>
      </c>
      <c r="G27" s="156">
        <f t="shared" si="15"/>
        <v>175</v>
      </c>
      <c r="H27" s="156"/>
      <c r="I27" s="157">
        <f t="shared" si="16"/>
        <v>1.0684523809523809</v>
      </c>
      <c r="J27" s="157"/>
      <c r="K27" s="27">
        <v>10</v>
      </c>
      <c r="L27" s="34">
        <f t="shared" si="17"/>
        <v>747.91666666666674</v>
      </c>
    </row>
    <row r="28" spans="1:12" ht="15.6" x14ac:dyDescent="0.3">
      <c r="A28" s="18">
        <v>25</v>
      </c>
      <c r="B28" s="24" t="s">
        <v>43</v>
      </c>
      <c r="C28" s="25">
        <v>400</v>
      </c>
      <c r="D28" s="25">
        <v>30.2</v>
      </c>
      <c r="E28" s="25">
        <v>30.2</v>
      </c>
      <c r="F28" s="25">
        <v>20</v>
      </c>
      <c r="G28" s="152">
        <f>(D28/C28)*1000</f>
        <v>75.5</v>
      </c>
      <c r="H28" s="152"/>
      <c r="I28" s="153">
        <f>(75*(1-(F28/3600)))/D28</f>
        <v>2.4696467991169979</v>
      </c>
      <c r="J28" s="153"/>
      <c r="K28" s="25">
        <v>10</v>
      </c>
      <c r="L28" s="32">
        <f>(I28*D28)*K28</f>
        <v>745.83333333333326</v>
      </c>
    </row>
    <row r="29" spans="1:12" ht="15.6" x14ac:dyDescent="0.3">
      <c r="A29" s="18">
        <v>26</v>
      </c>
      <c r="B29" s="24" t="s">
        <v>44</v>
      </c>
      <c r="C29" s="25">
        <v>400</v>
      </c>
      <c r="D29" s="25">
        <v>50</v>
      </c>
      <c r="E29" s="25">
        <v>44.5</v>
      </c>
      <c r="F29" s="25">
        <v>30</v>
      </c>
      <c r="G29" s="152">
        <f t="shared" ref="G29:G31" si="18">(D29/C29)*1000</f>
        <v>125</v>
      </c>
      <c r="H29" s="152"/>
      <c r="I29" s="153">
        <f t="shared" ref="I29:I31" si="19">(75*(1-(F29/3600)))/D29</f>
        <v>1.4875</v>
      </c>
      <c r="J29" s="153"/>
      <c r="K29" s="25">
        <v>10</v>
      </c>
      <c r="L29" s="32">
        <f t="shared" ref="L29:L31" si="20">(I29*D29)*K29</f>
        <v>743.75</v>
      </c>
    </row>
    <row r="30" spans="1:12" ht="15.6" x14ac:dyDescent="0.3">
      <c r="A30" s="18">
        <v>27</v>
      </c>
      <c r="B30" s="24" t="s">
        <v>45</v>
      </c>
      <c r="C30" s="25">
        <v>400</v>
      </c>
      <c r="D30" s="25">
        <v>16.8</v>
      </c>
      <c r="E30" s="25">
        <v>26</v>
      </c>
      <c r="F30" s="25">
        <v>50</v>
      </c>
      <c r="G30" s="152">
        <f t="shared" si="18"/>
        <v>42</v>
      </c>
      <c r="H30" s="152"/>
      <c r="I30" s="153">
        <f t="shared" si="19"/>
        <v>4.402281746031746</v>
      </c>
      <c r="J30" s="153"/>
      <c r="K30" s="25">
        <v>10</v>
      </c>
      <c r="L30" s="32">
        <f t="shared" si="20"/>
        <v>739.58333333333348</v>
      </c>
    </row>
    <row r="31" spans="1:12" ht="15.6" x14ac:dyDescent="0.3">
      <c r="A31" s="18">
        <v>28</v>
      </c>
      <c r="B31" s="24" t="s">
        <v>46</v>
      </c>
      <c r="C31" s="25">
        <v>400</v>
      </c>
      <c r="D31" s="25">
        <v>70</v>
      </c>
      <c r="E31" s="25">
        <v>60</v>
      </c>
      <c r="F31" s="25">
        <v>10</v>
      </c>
      <c r="G31" s="152">
        <f t="shared" si="18"/>
        <v>175</v>
      </c>
      <c r="H31" s="152"/>
      <c r="I31" s="153">
        <f t="shared" si="19"/>
        <v>1.0684523809523809</v>
      </c>
      <c r="J31" s="153"/>
      <c r="K31" s="25">
        <v>10</v>
      </c>
      <c r="L31" s="32">
        <f t="shared" si="20"/>
        <v>747.91666666666674</v>
      </c>
    </row>
    <row r="32" spans="1:12" ht="15.6" x14ac:dyDescent="0.3">
      <c r="A32" s="18">
        <v>29</v>
      </c>
      <c r="B32" s="22" t="s">
        <v>43</v>
      </c>
      <c r="C32" s="23">
        <v>400</v>
      </c>
      <c r="D32" s="23">
        <v>30.2</v>
      </c>
      <c r="E32" s="23">
        <v>30.2</v>
      </c>
      <c r="F32" s="23">
        <v>20</v>
      </c>
      <c r="G32" s="158">
        <f>(D32/C32)*1000</f>
        <v>75.5</v>
      </c>
      <c r="H32" s="158"/>
      <c r="I32" s="159">
        <f>(75*(1-(F32/3600)))/D32</f>
        <v>2.4696467991169979</v>
      </c>
      <c r="J32" s="159"/>
      <c r="K32" s="23">
        <v>10</v>
      </c>
      <c r="L32" s="35">
        <f>(I32*D32)*K32</f>
        <v>745.83333333333326</v>
      </c>
    </row>
    <row r="33" spans="1:12" ht="15.6" x14ac:dyDescent="0.3">
      <c r="A33" s="18">
        <v>30</v>
      </c>
      <c r="B33" s="22" t="s">
        <v>44</v>
      </c>
      <c r="C33" s="23">
        <v>400</v>
      </c>
      <c r="D33" s="23">
        <v>50</v>
      </c>
      <c r="E33" s="23">
        <v>44.5</v>
      </c>
      <c r="F33" s="23">
        <v>30</v>
      </c>
      <c r="G33" s="158">
        <f t="shared" ref="G33:G35" si="21">(D33/C33)*1000</f>
        <v>125</v>
      </c>
      <c r="H33" s="158"/>
      <c r="I33" s="159">
        <f t="shared" ref="I33:I35" si="22">(75*(1-(F33/3600)))/D33</f>
        <v>1.4875</v>
      </c>
      <c r="J33" s="159"/>
      <c r="K33" s="23">
        <v>10</v>
      </c>
      <c r="L33" s="35">
        <f t="shared" ref="L33:L35" si="23">(I33*D33)*K33</f>
        <v>743.75</v>
      </c>
    </row>
    <row r="34" spans="1:12" ht="15.6" x14ac:dyDescent="0.3">
      <c r="A34" s="18">
        <v>31</v>
      </c>
      <c r="B34" s="22" t="s">
        <v>45</v>
      </c>
      <c r="C34" s="23">
        <v>400</v>
      </c>
      <c r="D34" s="23">
        <v>16.8</v>
      </c>
      <c r="E34" s="23">
        <v>26</v>
      </c>
      <c r="F34" s="23">
        <v>50</v>
      </c>
      <c r="G34" s="158">
        <f t="shared" si="21"/>
        <v>42</v>
      </c>
      <c r="H34" s="158"/>
      <c r="I34" s="159">
        <f t="shared" si="22"/>
        <v>4.402281746031746</v>
      </c>
      <c r="J34" s="159"/>
      <c r="K34" s="23">
        <v>10</v>
      </c>
      <c r="L34" s="35">
        <f t="shared" si="23"/>
        <v>739.58333333333348</v>
      </c>
    </row>
    <row r="35" spans="1:12" ht="15.6" x14ac:dyDescent="0.3">
      <c r="A35" s="18">
        <v>32</v>
      </c>
      <c r="B35" s="22" t="s">
        <v>46</v>
      </c>
      <c r="C35" s="23">
        <v>400</v>
      </c>
      <c r="D35" s="23">
        <v>70</v>
      </c>
      <c r="E35" s="23">
        <v>60</v>
      </c>
      <c r="F35" s="23">
        <v>10</v>
      </c>
      <c r="G35" s="158">
        <f t="shared" si="21"/>
        <v>175</v>
      </c>
      <c r="H35" s="158"/>
      <c r="I35" s="159">
        <f t="shared" si="22"/>
        <v>1.0684523809523809</v>
      </c>
      <c r="J35" s="159"/>
      <c r="K35" s="23">
        <v>10</v>
      </c>
      <c r="L35" s="35">
        <f t="shared" si="23"/>
        <v>747.91666666666674</v>
      </c>
    </row>
    <row r="36" spans="1:12" ht="15.6" x14ac:dyDescent="0.3">
      <c r="A36" s="18">
        <v>33</v>
      </c>
      <c r="B36" s="21" t="s">
        <v>43</v>
      </c>
      <c r="C36" s="2">
        <v>400</v>
      </c>
      <c r="D36" s="2">
        <v>30.2</v>
      </c>
      <c r="E36" s="2">
        <v>30.2</v>
      </c>
      <c r="F36" s="2">
        <v>20</v>
      </c>
      <c r="G36" s="160">
        <f>(D36/C36)*1000</f>
        <v>75.5</v>
      </c>
      <c r="H36" s="160"/>
      <c r="I36" s="161">
        <f>(75*(1-(F36/3600)))/D36</f>
        <v>2.4696467991169979</v>
      </c>
      <c r="J36" s="161"/>
      <c r="K36" s="2">
        <v>10</v>
      </c>
      <c r="L36" s="37">
        <f>(I36*D36)*K36</f>
        <v>745.83333333333326</v>
      </c>
    </row>
    <row r="37" spans="1:12" ht="15.6" x14ac:dyDescent="0.3">
      <c r="A37" s="18">
        <v>34</v>
      </c>
      <c r="B37" s="21" t="s">
        <v>44</v>
      </c>
      <c r="C37" s="2">
        <v>400</v>
      </c>
      <c r="D37" s="2">
        <v>50</v>
      </c>
      <c r="E37" s="2">
        <v>44.5</v>
      </c>
      <c r="F37" s="2">
        <v>30</v>
      </c>
      <c r="G37" s="160">
        <f t="shared" ref="G37:G39" si="24">(D37/C37)*1000</f>
        <v>125</v>
      </c>
      <c r="H37" s="160"/>
      <c r="I37" s="161">
        <f t="shared" ref="I37:I39" si="25">(75*(1-(F37/3600)))/D37</f>
        <v>1.4875</v>
      </c>
      <c r="J37" s="161"/>
      <c r="K37" s="2">
        <v>10</v>
      </c>
      <c r="L37" s="37">
        <f t="shared" ref="L37:L39" si="26">(I37*D37)*K37</f>
        <v>743.75</v>
      </c>
    </row>
    <row r="38" spans="1:12" ht="15.6" x14ac:dyDescent="0.3">
      <c r="A38" s="18">
        <v>35</v>
      </c>
      <c r="B38" s="21" t="s">
        <v>45</v>
      </c>
      <c r="C38" s="2">
        <v>400</v>
      </c>
      <c r="D38" s="2">
        <v>16.8</v>
      </c>
      <c r="E38" s="2">
        <v>26</v>
      </c>
      <c r="F38" s="2">
        <v>50</v>
      </c>
      <c r="G38" s="160">
        <f t="shared" si="24"/>
        <v>42</v>
      </c>
      <c r="H38" s="160"/>
      <c r="I38" s="161">
        <f t="shared" si="25"/>
        <v>4.402281746031746</v>
      </c>
      <c r="J38" s="161"/>
      <c r="K38" s="2">
        <v>10</v>
      </c>
      <c r="L38" s="37">
        <f t="shared" si="26"/>
        <v>739.58333333333348</v>
      </c>
    </row>
    <row r="39" spans="1:12" ht="15.6" x14ac:dyDescent="0.3">
      <c r="A39" s="18">
        <v>36</v>
      </c>
      <c r="B39" s="21" t="s">
        <v>46</v>
      </c>
      <c r="C39" s="2">
        <v>400</v>
      </c>
      <c r="D39" s="2">
        <v>70</v>
      </c>
      <c r="E39" s="2">
        <v>60</v>
      </c>
      <c r="F39" s="2">
        <v>10</v>
      </c>
      <c r="G39" s="160">
        <f t="shared" si="24"/>
        <v>175</v>
      </c>
      <c r="H39" s="160"/>
      <c r="I39" s="161">
        <f t="shared" si="25"/>
        <v>1.0684523809523809</v>
      </c>
      <c r="J39" s="161"/>
      <c r="K39" s="2">
        <v>10</v>
      </c>
      <c r="L39" s="37">
        <f t="shared" si="26"/>
        <v>747.91666666666674</v>
      </c>
    </row>
    <row r="40" spans="1:12" ht="15.6" x14ac:dyDescent="0.3">
      <c r="A40" s="18">
        <v>37</v>
      </c>
      <c r="B40" s="22" t="s">
        <v>43</v>
      </c>
      <c r="C40" s="23">
        <v>400</v>
      </c>
      <c r="D40" s="23">
        <v>30.2</v>
      </c>
      <c r="E40" s="23">
        <v>30.2</v>
      </c>
      <c r="F40" s="23">
        <v>20</v>
      </c>
      <c r="G40" s="158">
        <f>(D40/C40)*1000</f>
        <v>75.5</v>
      </c>
      <c r="H40" s="158"/>
      <c r="I40" s="159">
        <f>(75*(1-(F40/3600)))/D40</f>
        <v>2.4696467991169979</v>
      </c>
      <c r="J40" s="159"/>
      <c r="K40" s="23">
        <v>10</v>
      </c>
      <c r="L40" s="35">
        <f>(I40*D40)*K40</f>
        <v>745.83333333333326</v>
      </c>
    </row>
    <row r="41" spans="1:12" ht="15.6" x14ac:dyDescent="0.3">
      <c r="A41" s="18">
        <v>38</v>
      </c>
      <c r="B41" s="22" t="s">
        <v>44</v>
      </c>
      <c r="C41" s="23">
        <v>400</v>
      </c>
      <c r="D41" s="23">
        <v>50</v>
      </c>
      <c r="E41" s="23">
        <v>44.5</v>
      </c>
      <c r="F41" s="23">
        <v>30</v>
      </c>
      <c r="G41" s="158">
        <f t="shared" ref="G41:G43" si="27">(D41/C41)*1000</f>
        <v>125</v>
      </c>
      <c r="H41" s="158"/>
      <c r="I41" s="159">
        <f t="shared" ref="I41:I43" si="28">(75*(1-(F41/3600)))/D41</f>
        <v>1.4875</v>
      </c>
      <c r="J41" s="159"/>
      <c r="K41" s="23">
        <v>10</v>
      </c>
      <c r="L41" s="35">
        <f t="shared" ref="L41:L43" si="29">(I41*D41)*K41</f>
        <v>743.75</v>
      </c>
    </row>
    <row r="42" spans="1:12" ht="15.6" x14ac:dyDescent="0.3">
      <c r="A42" s="18">
        <v>39</v>
      </c>
      <c r="B42" s="22" t="s">
        <v>45</v>
      </c>
      <c r="C42" s="23">
        <v>400</v>
      </c>
      <c r="D42" s="23">
        <v>16.8</v>
      </c>
      <c r="E42" s="23">
        <v>26</v>
      </c>
      <c r="F42" s="23">
        <v>50</v>
      </c>
      <c r="G42" s="158">
        <f t="shared" si="27"/>
        <v>42</v>
      </c>
      <c r="H42" s="158"/>
      <c r="I42" s="159">
        <f t="shared" si="28"/>
        <v>4.402281746031746</v>
      </c>
      <c r="J42" s="159"/>
      <c r="K42" s="23">
        <v>10</v>
      </c>
      <c r="L42" s="35">
        <f t="shared" si="29"/>
        <v>739.58333333333348</v>
      </c>
    </row>
    <row r="43" spans="1:12" ht="15.6" x14ac:dyDescent="0.3">
      <c r="A43" s="18">
        <v>40</v>
      </c>
      <c r="B43" s="22" t="s">
        <v>46</v>
      </c>
      <c r="C43" s="23">
        <v>400</v>
      </c>
      <c r="D43" s="23">
        <v>70</v>
      </c>
      <c r="E43" s="23">
        <v>60</v>
      </c>
      <c r="F43" s="23">
        <v>10</v>
      </c>
      <c r="G43" s="158">
        <f t="shared" si="27"/>
        <v>175</v>
      </c>
      <c r="H43" s="158"/>
      <c r="I43" s="159">
        <f t="shared" si="28"/>
        <v>1.0684523809523809</v>
      </c>
      <c r="J43" s="159"/>
      <c r="K43" s="23">
        <v>10</v>
      </c>
      <c r="L43" s="35">
        <f t="shared" si="29"/>
        <v>747.91666666666674</v>
      </c>
    </row>
    <row r="44" spans="1:12" ht="25.8" x14ac:dyDescent="0.3">
      <c r="A44" s="129" t="s">
        <v>47</v>
      </c>
      <c r="B44" s="129"/>
      <c r="C44" s="129"/>
      <c r="D44" s="38">
        <f>SUM(D4:D43)</f>
        <v>1670</v>
      </c>
      <c r="E44" s="162" t="s">
        <v>53</v>
      </c>
      <c r="F44" s="162"/>
      <c r="G44" s="129" t="s">
        <v>51</v>
      </c>
      <c r="H44" s="129"/>
      <c r="I44" s="39">
        <f>SUM(I4:J43)</f>
        <v>94.278809261011247</v>
      </c>
      <c r="J44" s="40" t="s">
        <v>54</v>
      </c>
      <c r="K44" s="12" t="s">
        <v>50</v>
      </c>
      <c r="L44" s="4">
        <f>SUM(L4:L39)</f>
        <v>26793.75</v>
      </c>
    </row>
    <row r="47" spans="1:12" x14ac:dyDescent="0.3">
      <c r="E47" s="15"/>
    </row>
  </sheetData>
  <mergeCells count="86">
    <mergeCell ref="E44:F44"/>
    <mergeCell ref="A44:C44"/>
    <mergeCell ref="G44:H44"/>
    <mergeCell ref="G41:H41"/>
    <mergeCell ref="I41:J41"/>
    <mergeCell ref="G42:H42"/>
    <mergeCell ref="I42:J42"/>
    <mergeCell ref="G43:H43"/>
    <mergeCell ref="G39:H39"/>
    <mergeCell ref="I39:J39"/>
    <mergeCell ref="G38:H38"/>
    <mergeCell ref="I38:J38"/>
    <mergeCell ref="I43:J43"/>
    <mergeCell ref="G40:H40"/>
    <mergeCell ref="I40:J40"/>
    <mergeCell ref="G28:H28"/>
    <mergeCell ref="I28:J28"/>
    <mergeCell ref="G37:H37"/>
    <mergeCell ref="I37:J37"/>
    <mergeCell ref="G36:H36"/>
    <mergeCell ref="I36:J36"/>
    <mergeCell ref="G33:H33"/>
    <mergeCell ref="I33:J33"/>
    <mergeCell ref="G26:H26"/>
    <mergeCell ref="I26:J26"/>
    <mergeCell ref="G34:H34"/>
    <mergeCell ref="I34:J34"/>
    <mergeCell ref="G35:H35"/>
    <mergeCell ref="I35:J35"/>
    <mergeCell ref="G31:H31"/>
    <mergeCell ref="I31:J31"/>
    <mergeCell ref="G32:H32"/>
    <mergeCell ref="I32:J32"/>
    <mergeCell ref="G29:H29"/>
    <mergeCell ref="I29:J29"/>
    <mergeCell ref="G30:H30"/>
    <mergeCell ref="I30:J30"/>
    <mergeCell ref="G27:H27"/>
    <mergeCell ref="I27:J27"/>
    <mergeCell ref="G24:H24"/>
    <mergeCell ref="I24:J24"/>
    <mergeCell ref="G25:H25"/>
    <mergeCell ref="I25:J25"/>
    <mergeCell ref="G21:H21"/>
    <mergeCell ref="I21:J21"/>
    <mergeCell ref="G22:H22"/>
    <mergeCell ref="I22:J22"/>
    <mergeCell ref="G23:H23"/>
    <mergeCell ref="I23:J23"/>
    <mergeCell ref="G18:H18"/>
    <mergeCell ref="I18:J18"/>
    <mergeCell ref="G19:H19"/>
    <mergeCell ref="I19:J19"/>
    <mergeCell ref="G20:H20"/>
    <mergeCell ref="I20:J20"/>
    <mergeCell ref="G16:H16"/>
    <mergeCell ref="I16:J16"/>
    <mergeCell ref="G17:H17"/>
    <mergeCell ref="I17:J17"/>
    <mergeCell ref="G13:H13"/>
    <mergeCell ref="I13:J13"/>
    <mergeCell ref="G14:H14"/>
    <mergeCell ref="I14:J14"/>
    <mergeCell ref="G15:H15"/>
    <mergeCell ref="I15:J15"/>
    <mergeCell ref="G12:H12"/>
    <mergeCell ref="I12:J12"/>
    <mergeCell ref="G6:H6"/>
    <mergeCell ref="I6:J6"/>
    <mergeCell ref="G7:H7"/>
    <mergeCell ref="I7:J7"/>
    <mergeCell ref="G8:H8"/>
    <mergeCell ref="I8:J8"/>
    <mergeCell ref="G9:H9"/>
    <mergeCell ref="I9:J9"/>
    <mergeCell ref="G10:H10"/>
    <mergeCell ref="I10:J10"/>
    <mergeCell ref="G11:H11"/>
    <mergeCell ref="I11:J11"/>
    <mergeCell ref="G5:H5"/>
    <mergeCell ref="I5:J5"/>
    <mergeCell ref="G3:H3"/>
    <mergeCell ref="I3:J3"/>
    <mergeCell ref="K3:L3"/>
    <mergeCell ref="G4:H4"/>
    <mergeCell ref="I4:J4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.</dc:creator>
  <cp:lastModifiedBy>jagadeeswara kamarajugadda | AP23122100002</cp:lastModifiedBy>
  <dcterms:created xsi:type="dcterms:W3CDTF">2015-06-05T18:17:20Z</dcterms:created>
  <dcterms:modified xsi:type="dcterms:W3CDTF">2024-12-06T15:38:11Z</dcterms:modified>
</cp:coreProperties>
</file>