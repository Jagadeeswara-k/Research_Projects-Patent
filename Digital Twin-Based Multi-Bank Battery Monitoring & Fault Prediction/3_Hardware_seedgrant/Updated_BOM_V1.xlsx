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VbZExiw5TrbzMI+Hjbaw8AjUtnAIwnCssYM/Wq6fqgE="/>
    </ext>
  </extLst>
</workbook>
</file>

<file path=xl/sharedStrings.xml><?xml version="1.0" encoding="utf-8"?>
<sst xmlns="http://schemas.openxmlformats.org/spreadsheetml/2006/main" count="35" uniqueCount="35">
  <si>
    <t>Sl. No.</t>
  </si>
  <si>
    <t>Component</t>
  </si>
  <si>
    <t>Specification</t>
  </si>
  <si>
    <t>Quantity</t>
  </si>
  <si>
    <t>Unit Cost (₹)</t>
  </si>
  <si>
    <t>Total Cost (₹)</t>
  </si>
  <si>
    <t>Li-ion / LiFePO₄ Cells</t>
  </si>
  <si>
    <t>3.3 V, 2.5–3 Ah</t>
  </si>
  <si>
    <t>Cell Holders / Enclosure</t>
  </si>
  <si>
    <t>Mechanical housing</t>
  </si>
  <si>
    <t>Copper Busbars / Nickel Strips</t>
  </si>
  <si>
    <t>Series connections</t>
  </si>
  <si>
    <t>Automotive Fuse</t>
  </si>
  <si>
    <t>Over-current protection</t>
  </si>
  <si>
    <t>Relay module</t>
  </si>
  <si>
    <t>Difital switch</t>
  </si>
  <si>
    <t>Current Sensor</t>
  </si>
  <si>
    <t>Hall-effect (ACS712)</t>
  </si>
  <si>
    <t>Voltage Sensing Circuit</t>
  </si>
  <si>
    <t>Divider + ADC</t>
  </si>
  <si>
    <t>Temperature Sensor</t>
  </si>
  <si>
    <t>DS18B20 / NTC</t>
  </si>
  <si>
    <t>Pressure Sensor</t>
  </si>
  <si>
    <t>Battery safety monitoring</t>
  </si>
  <si>
    <t>Moisture Sensor</t>
  </si>
  <si>
    <t>Humidity / leakage detection</t>
  </si>
  <si>
    <t>Microcontroller Board</t>
  </si>
  <si>
    <t>STM32 / ESP32</t>
  </si>
  <si>
    <t>CAN Transceiver</t>
  </si>
  <si>
    <t>MCP2551 / SN65HVD230</t>
  </si>
  <si>
    <t>connerter cables</t>
  </si>
  <si>
    <t>Communication wiring</t>
  </si>
  <si>
    <t>mislinious</t>
  </si>
  <si>
    <t>general equipment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</si>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</sst>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6.57"/>
    <col customWidth="1" min="3" max="3" width="27.29"/>
    <col customWidth="1" min="4" max="4" width="8.57"/>
    <col customWidth="1" min="5" max="5" width="11.71"/>
    <col customWidth="1" min="6" max="6" width="12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50.0</v>
      </c>
      <c r="E2" s="1">
        <v>50.0</v>
      </c>
      <c r="F2" s="1">
        <f t="shared" ref="F2:F15" si="1">D2*E2</f>
        <v>2500</v>
      </c>
    </row>
    <row r="3">
      <c r="A3" s="1">
        <v>2.0</v>
      </c>
      <c r="B3" s="1" t="s">
        <v>8</v>
      </c>
      <c r="C3" s="1" t="s">
        <v>9</v>
      </c>
      <c r="D3" s="1">
        <v>50.0</v>
      </c>
      <c r="E3" s="1">
        <v>20.0</v>
      </c>
      <c r="F3" s="1">
        <f t="shared" si="1"/>
        <v>1000</v>
      </c>
    </row>
    <row r="4">
      <c r="A4" s="1">
        <v>3.0</v>
      </c>
      <c r="B4" s="1" t="s">
        <v>10</v>
      </c>
      <c r="C4" s="1" t="s">
        <v>11</v>
      </c>
      <c r="D4" s="1">
        <v>100.0</v>
      </c>
      <c r="E4" s="1">
        <v>1.0</v>
      </c>
      <c r="F4" s="1">
        <f t="shared" si="1"/>
        <v>100</v>
      </c>
    </row>
    <row r="5">
      <c r="A5" s="1">
        <v>4.0</v>
      </c>
      <c r="B5" s="1" t="s">
        <v>12</v>
      </c>
      <c r="C5" s="1" t="s">
        <v>13</v>
      </c>
      <c r="D5" s="1">
        <v>5.0</v>
      </c>
      <c r="E5" s="1">
        <v>20.0</v>
      </c>
      <c r="F5" s="1">
        <f t="shared" si="1"/>
        <v>100</v>
      </c>
    </row>
    <row r="6">
      <c r="A6" s="1">
        <v>5.0</v>
      </c>
      <c r="B6" s="1" t="s">
        <v>14</v>
      </c>
      <c r="C6" s="1" t="s">
        <v>15</v>
      </c>
      <c r="D6" s="1">
        <v>8.0</v>
      </c>
      <c r="E6" s="1">
        <v>80.0</v>
      </c>
      <c r="F6" s="1">
        <f t="shared" si="1"/>
        <v>640</v>
      </c>
    </row>
    <row r="7">
      <c r="A7" s="1">
        <v>6.0</v>
      </c>
      <c r="B7" s="1" t="s">
        <v>16</v>
      </c>
      <c r="C7" s="1" t="s">
        <v>17</v>
      </c>
      <c r="D7" s="1">
        <v>5.0</v>
      </c>
      <c r="E7" s="1">
        <v>50.0</v>
      </c>
      <c r="F7" s="1">
        <f t="shared" si="1"/>
        <v>250</v>
      </c>
    </row>
    <row r="8">
      <c r="A8" s="1">
        <v>7.0</v>
      </c>
      <c r="B8" s="1" t="s">
        <v>18</v>
      </c>
      <c r="C8" s="1" t="s">
        <v>19</v>
      </c>
      <c r="D8" s="1">
        <v>5.0</v>
      </c>
      <c r="E8" s="1">
        <v>50.0</v>
      </c>
      <c r="F8" s="1">
        <f t="shared" si="1"/>
        <v>250</v>
      </c>
    </row>
    <row r="9">
      <c r="A9" s="1">
        <v>8.0</v>
      </c>
      <c r="B9" s="1" t="s">
        <v>20</v>
      </c>
      <c r="C9" s="1" t="s">
        <v>21</v>
      </c>
      <c r="D9" s="1">
        <v>5.0</v>
      </c>
      <c r="E9" s="1">
        <v>50.0</v>
      </c>
      <c r="F9" s="1">
        <f t="shared" si="1"/>
        <v>250</v>
      </c>
    </row>
    <row r="10">
      <c r="A10" s="1">
        <v>9.0</v>
      </c>
      <c r="B10" s="1" t="s">
        <v>22</v>
      </c>
      <c r="C10" s="1" t="s">
        <v>23</v>
      </c>
      <c r="D10" s="1">
        <v>5.0</v>
      </c>
      <c r="E10" s="1">
        <v>60.0</v>
      </c>
      <c r="F10" s="1">
        <f t="shared" si="1"/>
        <v>300</v>
      </c>
    </row>
    <row r="11">
      <c r="A11" s="1">
        <v>10.0</v>
      </c>
      <c r="B11" s="1" t="s">
        <v>24</v>
      </c>
      <c r="C11" s="1" t="s">
        <v>25</v>
      </c>
      <c r="D11" s="1">
        <v>5.0</v>
      </c>
      <c r="E11" s="1">
        <v>5.0</v>
      </c>
      <c r="F11" s="1">
        <f t="shared" si="1"/>
        <v>25</v>
      </c>
    </row>
    <row r="12">
      <c r="A12" s="1">
        <v>11.0</v>
      </c>
      <c r="B12" s="1" t="s">
        <v>26</v>
      </c>
      <c r="C12" s="1" t="s">
        <v>27</v>
      </c>
      <c r="D12" s="1">
        <v>2.0</v>
      </c>
      <c r="E12" s="1">
        <v>400.0</v>
      </c>
      <c r="F12" s="1">
        <f t="shared" si="1"/>
        <v>800</v>
      </c>
    </row>
    <row r="13">
      <c r="A13" s="1">
        <v>12.0</v>
      </c>
      <c r="B13" s="1" t="s">
        <v>28</v>
      </c>
      <c r="C13" s="1" t="s">
        <v>29</v>
      </c>
      <c r="D13" s="1">
        <v>5.0</v>
      </c>
      <c r="E13" s="1">
        <v>300.0</v>
      </c>
      <c r="F13" s="1">
        <f t="shared" si="1"/>
        <v>1500</v>
      </c>
    </row>
    <row r="14">
      <c r="A14" s="1">
        <v>13.0</v>
      </c>
      <c r="B14" s="1" t="s">
        <v>30</v>
      </c>
      <c r="C14" s="1" t="s">
        <v>31</v>
      </c>
      <c r="D14" s="1">
        <v>3.0</v>
      </c>
      <c r="E14" s="1">
        <v>100.0</v>
      </c>
      <c r="F14" s="1">
        <f t="shared" si="1"/>
        <v>300</v>
      </c>
    </row>
    <row r="15">
      <c r="A15" s="1">
        <v>14.0</v>
      </c>
      <c r="B15" s="1" t="s">
        <v>32</v>
      </c>
      <c r="C15" s="1" t="s">
        <v>33</v>
      </c>
      <c r="D15" s="1">
        <v>1.0</v>
      </c>
      <c r="E15" s="1">
        <v>2000.0</v>
      </c>
      <c r="F15" s="1">
        <f t="shared" si="1"/>
        <v>2000</v>
      </c>
    </row>
    <row r="16">
      <c r="E16" s="1" t="s">
        <v>34</v>
      </c>
      <c r="F16" s="1">
        <f>SUM(F2:F15)</f>
        <v>10015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2026-01-17T13:19:48Z</dcterms:created>
  <dc:creator>openpyxl</dc:creator>
</cp:coreProperties>
</file>