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/>
  <mc:AlternateContent xmlns:mc="http://schemas.openxmlformats.org/markup-compatibility/2006">
    <mc:Choice Requires="x15">
      <x15ac:absPath xmlns:x15ac="http://schemas.microsoft.com/office/spreadsheetml/2010/11/ac" url="C:\Users\IPTIF\Desktop\"/>
    </mc:Choice>
  </mc:AlternateContent>
  <xr:revisionPtr revIDLastSave="0" documentId="13_ncr:1_{F5246466-4FD6-4D76-B9D1-34AD07324D4D}" xr6:coauthVersionLast="47" xr6:coauthVersionMax="47" xr10:uidLastSave="{00000000-0000-0000-0000-000000000000}"/>
  <bookViews>
    <workbookView xWindow="-120" yWindow="-120" windowWidth="29040" windowHeight="15720" tabRatio="805" activeTab="1" xr2:uid="{00000000-000D-0000-FFFF-FFFF00000000}"/>
  </bookViews>
  <sheets>
    <sheet name="Guidelines" sheetId="2" r:id="rId1"/>
    <sheet name="Initial_entry" sheetId="3" r:id="rId2"/>
    <sheet name="Initial_Component_aggregator" sheetId="4" r:id="rId3"/>
    <sheet name="Master_Sheet" sheetId="5" r:id="rId4"/>
    <sheet name="Final_Master_Sheet" sheetId="6" r:id="rId5"/>
    <sheet name="Final_Component_List" sheetId="7" r:id="rId6"/>
  </sheets>
  <externalReferences>
    <externalReference r:id="rId7"/>
  </externalReferences>
  <definedNames>
    <definedName name="_xlnm._FilterDatabase" localSheetId="5" hidden="1">Final_Component_List!$A$1:$H$301</definedName>
    <definedName name="_xlnm._FilterDatabase" localSheetId="4" hidden="1">Final_Master_Sheet!$A$1:$G$162</definedName>
    <definedName name="_xlnm._FilterDatabase" localSheetId="2" hidden="1">Initial_Component_aggregator!$A$1:$L$3</definedName>
    <definedName name="_xlnm._FilterDatabase" localSheetId="3" hidden="1">Master_Sheet!$A$1:$M$500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4" l="1"/>
  <c r="E4" i="4"/>
  <c r="E5" i="4"/>
  <c r="E6" i="4"/>
  <c r="E7" i="4"/>
  <c r="E8" i="4"/>
  <c r="E9" i="4"/>
  <c r="E10" i="4"/>
  <c r="E11" i="4"/>
  <c r="E12" i="4"/>
  <c r="D3" i="4" a="1"/>
  <c r="D3" i="4" s="1"/>
  <c r="D4" i="4" a="1"/>
  <c r="D4" i="4" s="1"/>
  <c r="D5" i="4" a="1"/>
  <c r="D5" i="4" s="1"/>
  <c r="D6" i="4" a="1"/>
  <c r="D6" i="4" s="1"/>
  <c r="D7" i="4" a="1"/>
  <c r="D7" i="4" s="1"/>
  <c r="D8" i="4" a="1"/>
  <c r="D8" i="4"/>
  <c r="D9" i="4" a="1"/>
  <c r="D9" i="4" s="1"/>
  <c r="D10" i="4" a="1"/>
  <c r="D10" i="4" s="1"/>
  <c r="D11" i="4" a="1"/>
  <c r="D11" i="4"/>
  <c r="D12" i="4" a="1"/>
  <c r="D12" i="4"/>
  <c r="D13" i="4" a="1"/>
  <c r="D13" i="4"/>
  <c r="D14" i="4" a="1"/>
  <c r="D14" i="4" s="1"/>
  <c r="D15" i="4" a="1"/>
  <c r="D15" i="4" s="1"/>
  <c r="D16" i="4" a="1"/>
  <c r="D16" i="4" s="1"/>
  <c r="D17" i="4" a="1"/>
  <c r="D17" i="4" s="1"/>
  <c r="D18" i="4" a="1"/>
  <c r="D18" i="4" s="1"/>
  <c r="D19" i="4" a="1"/>
  <c r="D19" i="4" s="1"/>
  <c r="C3" i="4"/>
  <c r="C4" i="4"/>
  <c r="C5" i="4"/>
  <c r="C6" i="4"/>
  <c r="C7" i="4"/>
  <c r="C8" i="4"/>
  <c r="C9" i="4"/>
  <c r="C10" i="4"/>
  <c r="C11" i="4"/>
  <c r="C12" i="4"/>
  <c r="C2" i="4"/>
  <c r="C162" i="6"/>
  <c r="B162" i="6"/>
  <c r="A162" i="6"/>
  <c r="C161" i="6"/>
  <c r="B161" i="6"/>
  <c r="A161" i="6"/>
  <c r="E161" i="6" s="1" a="1"/>
  <c r="E161" i="6" s="1"/>
  <c r="G160" i="6" a="1"/>
  <c r="G160" i="6" s="1"/>
  <c r="F160" i="6" a="1"/>
  <c r="F160" i="6" s="1"/>
  <c r="E160" i="6" a="1"/>
  <c r="E160" i="6" s="1"/>
  <c r="D160" i="6" a="1"/>
  <c r="D160" i="6" s="1"/>
  <c r="C160" i="6"/>
  <c r="B160" i="6"/>
  <c r="A160" i="6"/>
  <c r="D159" i="6" a="1"/>
  <c r="D159" i="6" s="1"/>
  <c r="C159" i="6"/>
  <c r="B159" i="6"/>
  <c r="A159" i="6"/>
  <c r="C158" i="6"/>
  <c r="B158" i="6"/>
  <c r="A158" i="6"/>
  <c r="G158" i="6" s="1" a="1"/>
  <c r="G158" i="6" s="1"/>
  <c r="G157" i="6" a="1"/>
  <c r="G157" i="6"/>
  <c r="F157" i="6" a="1"/>
  <c r="F157" i="6" s="1"/>
  <c r="C157" i="6"/>
  <c r="B157" i="6"/>
  <c r="A157" i="6"/>
  <c r="E157" i="6" s="1" a="1"/>
  <c r="E157" i="6" s="1"/>
  <c r="E156" i="6" a="1"/>
  <c r="E156" i="6" s="1"/>
  <c r="D156" i="6" a="1"/>
  <c r="D156" i="6" s="1"/>
  <c r="C156" i="6"/>
  <c r="B156" i="6"/>
  <c r="A156" i="6"/>
  <c r="G156" i="6" s="1" a="1"/>
  <c r="G156" i="6" s="1"/>
  <c r="G155" i="6" a="1"/>
  <c r="G155" i="6" s="1"/>
  <c r="F155" i="6" a="1"/>
  <c r="F155" i="6" s="1"/>
  <c r="E155" i="6" a="1"/>
  <c r="E155" i="6" s="1"/>
  <c r="D155" i="6" a="1"/>
  <c r="D155" i="6" s="1"/>
  <c r="C155" i="6"/>
  <c r="B155" i="6"/>
  <c r="A155" i="6"/>
  <c r="D154" i="6" a="1"/>
  <c r="D154" i="6" s="1"/>
  <c r="C154" i="6"/>
  <c r="B154" i="6"/>
  <c r="A154" i="6"/>
  <c r="C153" i="6"/>
  <c r="B153" i="6"/>
  <c r="A153" i="6"/>
  <c r="F153" i="6" s="1" a="1"/>
  <c r="F153" i="6" s="1"/>
  <c r="G152" i="6" a="1"/>
  <c r="G152" i="6" s="1"/>
  <c r="F152" i="6" a="1"/>
  <c r="F152" i="6" s="1"/>
  <c r="C152" i="6"/>
  <c r="B152" i="6"/>
  <c r="A152" i="6"/>
  <c r="E152" i="6" s="1" a="1"/>
  <c r="E152" i="6" s="1"/>
  <c r="E151" i="6" a="1"/>
  <c r="E151" i="6" s="1"/>
  <c r="D151" i="6" a="1"/>
  <c r="D151" i="6" s="1"/>
  <c r="C151" i="6"/>
  <c r="B151" i="6"/>
  <c r="A151" i="6"/>
  <c r="G151" i="6" s="1" a="1"/>
  <c r="G151" i="6" s="1"/>
  <c r="G150" i="6" a="1"/>
  <c r="G150" i="6"/>
  <c r="F150" i="6" a="1"/>
  <c r="F150" i="6" s="1"/>
  <c r="E150" i="6" a="1"/>
  <c r="E150" i="6" s="1"/>
  <c r="D150" i="6" a="1"/>
  <c r="D150" i="6" s="1"/>
  <c r="C150" i="6"/>
  <c r="B150" i="6"/>
  <c r="A150" i="6"/>
  <c r="C149" i="6"/>
  <c r="B149" i="6"/>
  <c r="A149" i="6"/>
  <c r="C148" i="6"/>
  <c r="B148" i="6"/>
  <c r="A148" i="6"/>
  <c r="G148" i="6" s="1" a="1"/>
  <c r="G148" i="6" s="1"/>
  <c r="G147" i="6" a="1"/>
  <c r="G147" i="6"/>
  <c r="F147" i="6" a="1"/>
  <c r="F147" i="6" s="1"/>
  <c r="E147" i="6" a="1"/>
  <c r="E147" i="6" s="1"/>
  <c r="C147" i="6"/>
  <c r="B147" i="6"/>
  <c r="A147" i="6"/>
  <c r="D147" i="6" s="1" a="1"/>
  <c r="D147" i="6" s="1"/>
  <c r="G146" i="6" a="1"/>
  <c r="G146" i="6" s="1"/>
  <c r="F146" i="6" a="1"/>
  <c r="F146" i="6" s="1"/>
  <c r="E146" i="6" a="1"/>
  <c r="E146" i="6" s="1"/>
  <c r="D146" i="6" a="1"/>
  <c r="D146" i="6" s="1"/>
  <c r="C146" i="6"/>
  <c r="B146" i="6"/>
  <c r="A146" i="6"/>
  <c r="C145" i="6"/>
  <c r="B145" i="6"/>
  <c r="A145" i="6"/>
  <c r="G145" i="6" s="1" a="1"/>
  <c r="G145" i="6" s="1"/>
  <c r="C144" i="6"/>
  <c r="B144" i="6"/>
  <c r="A144" i="6"/>
  <c r="C143" i="6"/>
  <c r="B143" i="6"/>
  <c r="A143" i="6"/>
  <c r="E143" i="6" s="1" a="1"/>
  <c r="E143" i="6" s="1"/>
  <c r="G142" i="6" a="1"/>
  <c r="G142" i="6"/>
  <c r="F142" i="6" a="1"/>
  <c r="F142" i="6" s="1"/>
  <c r="E142" i="6" a="1"/>
  <c r="E142" i="6" s="1"/>
  <c r="C142" i="6"/>
  <c r="B142" i="6"/>
  <c r="A142" i="6"/>
  <c r="D142" i="6" s="1" a="1"/>
  <c r="D142" i="6" s="1"/>
  <c r="C141" i="6"/>
  <c r="B141" i="6"/>
  <c r="A141" i="6"/>
  <c r="C140" i="6"/>
  <c r="B140" i="6"/>
  <c r="A140" i="6"/>
  <c r="E140" i="6" s="1" a="1"/>
  <c r="E140" i="6" s="1"/>
  <c r="G139" i="6" a="1"/>
  <c r="G139" i="6" s="1"/>
  <c r="C139" i="6"/>
  <c r="B139" i="6"/>
  <c r="A139" i="6"/>
  <c r="C138" i="6"/>
  <c r="B138" i="6"/>
  <c r="A138" i="6"/>
  <c r="D138" i="6" s="1" a="1"/>
  <c r="D138" i="6" s="1"/>
  <c r="G137" i="6" a="1"/>
  <c r="G137" i="6"/>
  <c r="F137" i="6" a="1"/>
  <c r="F137" i="6" s="1"/>
  <c r="E137" i="6" a="1"/>
  <c r="E137" i="6" s="1"/>
  <c r="D137" i="6" a="1"/>
  <c r="D137" i="6" s="1"/>
  <c r="C137" i="6"/>
  <c r="B137" i="6"/>
  <c r="A137" i="6"/>
  <c r="F136" i="6" a="1"/>
  <c r="F136" i="6" s="1"/>
  <c r="E136" i="6" a="1"/>
  <c r="E136" i="6" s="1"/>
  <c r="D136" i="6" a="1"/>
  <c r="D136" i="6" s="1"/>
  <c r="C136" i="6"/>
  <c r="B136" i="6"/>
  <c r="A136" i="6"/>
  <c r="G136" i="6" s="1" a="1"/>
  <c r="G136" i="6" s="1"/>
  <c r="C135" i="6"/>
  <c r="B135" i="6"/>
  <c r="A135" i="6"/>
  <c r="G135" i="6" s="1" a="1"/>
  <c r="G135" i="6" s="1"/>
  <c r="C134" i="6"/>
  <c r="B134" i="6"/>
  <c r="A134" i="6"/>
  <c r="F133" i="6" a="1"/>
  <c r="F133" i="6" s="1"/>
  <c r="E133" i="6" a="1"/>
  <c r="E133" i="6" s="1"/>
  <c r="D133" i="6" a="1"/>
  <c r="D133" i="6" s="1"/>
  <c r="C133" i="6"/>
  <c r="B133" i="6"/>
  <c r="A133" i="6"/>
  <c r="G133" i="6" s="1" a="1"/>
  <c r="G133" i="6" s="1"/>
  <c r="G132" i="6" a="1"/>
  <c r="G132" i="6" s="1"/>
  <c r="F132" i="6" a="1"/>
  <c r="F132" i="6"/>
  <c r="E132" i="6" a="1"/>
  <c r="E132" i="6" s="1"/>
  <c r="D132" i="6" a="1"/>
  <c r="D132" i="6" s="1"/>
  <c r="C132" i="6"/>
  <c r="B132" i="6"/>
  <c r="A132" i="6"/>
  <c r="G131" i="6"/>
  <c r="E131" i="6" a="1"/>
  <c r="E131" i="6" s="1"/>
  <c r="D131" i="6" a="1"/>
  <c r="D131" i="6" s="1"/>
  <c r="C131" i="6"/>
  <c r="B131" i="6"/>
  <c r="A131" i="6"/>
  <c r="G131" i="6" s="1" a="1"/>
  <c r="G130" i="6" a="1"/>
  <c r="G130" i="6" s="1"/>
  <c r="F130" i="6" a="1"/>
  <c r="F130" i="6" s="1"/>
  <c r="E130" i="6" a="1"/>
  <c r="E130" i="6" s="1"/>
  <c r="D130" i="6" a="1"/>
  <c r="D130" i="6" s="1"/>
  <c r="C130" i="6"/>
  <c r="B130" i="6"/>
  <c r="A130" i="6"/>
  <c r="C129" i="6"/>
  <c r="B129" i="6"/>
  <c r="A129" i="6"/>
  <c r="D128" i="6" a="1"/>
  <c r="D128" i="6" s="1"/>
  <c r="C128" i="6"/>
  <c r="B128" i="6"/>
  <c r="A128" i="6"/>
  <c r="G128" i="6" s="1" a="1"/>
  <c r="G128" i="6" s="1"/>
  <c r="G127" i="6" a="1"/>
  <c r="G127" i="6"/>
  <c r="F127" i="6" a="1"/>
  <c r="F127" i="6" s="1"/>
  <c r="E127" i="6" a="1"/>
  <c r="E127" i="6" s="1"/>
  <c r="C127" i="6"/>
  <c r="B127" i="6"/>
  <c r="A127" i="6"/>
  <c r="D127" i="6" s="1" a="1"/>
  <c r="D127" i="6" s="1"/>
  <c r="G126" i="6" a="1"/>
  <c r="G126" i="6"/>
  <c r="F126" i="6" a="1"/>
  <c r="F126" i="6" s="1"/>
  <c r="E126" i="6" a="1"/>
  <c r="E126" i="6" s="1"/>
  <c r="D126" i="6" a="1"/>
  <c r="D126" i="6" s="1"/>
  <c r="C126" i="6"/>
  <c r="B126" i="6"/>
  <c r="A126" i="6"/>
  <c r="E125" i="6" a="1"/>
  <c r="E125" i="6" s="1"/>
  <c r="C125" i="6"/>
  <c r="B125" i="6"/>
  <c r="A125" i="6"/>
  <c r="G125" i="6" s="1" a="1"/>
  <c r="G125" i="6" s="1"/>
  <c r="G124" i="6" a="1"/>
  <c r="G124" i="6" s="1"/>
  <c r="C124" i="6"/>
  <c r="B124" i="6"/>
  <c r="A124" i="6"/>
  <c r="C123" i="6"/>
  <c r="B123" i="6"/>
  <c r="A123" i="6"/>
  <c r="G123" i="6" s="1" a="1"/>
  <c r="G123" i="6" s="1"/>
  <c r="G122" i="6" a="1"/>
  <c r="G122" i="6"/>
  <c r="F122" i="6" a="1"/>
  <c r="F122" i="6" s="1"/>
  <c r="E122" i="6" a="1"/>
  <c r="E122" i="6" s="1"/>
  <c r="C122" i="6"/>
  <c r="B122" i="6"/>
  <c r="A122" i="6"/>
  <c r="D122" i="6" s="1" a="1"/>
  <c r="D122" i="6" s="1"/>
  <c r="G121" i="6" a="1"/>
  <c r="G121" i="6"/>
  <c r="F121" i="6" a="1"/>
  <c r="F121" i="6" s="1"/>
  <c r="E121" i="6" a="1"/>
  <c r="E121" i="6" s="1"/>
  <c r="D121" i="6" a="1"/>
  <c r="D121" i="6" s="1"/>
  <c r="C121" i="6"/>
  <c r="B121" i="6"/>
  <c r="A121" i="6"/>
  <c r="G120" i="6" a="1"/>
  <c r="G120" i="6" s="1"/>
  <c r="F120" i="6" a="1"/>
  <c r="F120" i="6" s="1"/>
  <c r="E120" i="6" a="1"/>
  <c r="E120" i="6" s="1"/>
  <c r="D120" i="6" a="1"/>
  <c r="D120" i="6" s="1"/>
  <c r="C120" i="6"/>
  <c r="B120" i="6"/>
  <c r="A120" i="6"/>
  <c r="C119" i="6"/>
  <c r="B119" i="6"/>
  <c r="A119" i="6"/>
  <c r="G119" i="6" s="1" a="1"/>
  <c r="G119" i="6" s="1"/>
  <c r="G118" i="6" a="1"/>
  <c r="G118" i="6"/>
  <c r="F118" i="6" a="1"/>
  <c r="F118" i="6" s="1"/>
  <c r="E118" i="6" a="1"/>
  <c r="E118" i="6" s="1"/>
  <c r="C118" i="6"/>
  <c r="B118" i="6"/>
  <c r="A118" i="6"/>
  <c r="D118" i="6" s="1" a="1"/>
  <c r="D118" i="6" s="1"/>
  <c r="G117" i="6" a="1"/>
  <c r="G117" i="6"/>
  <c r="F117" i="6" a="1"/>
  <c r="F117" i="6" s="1"/>
  <c r="E117" i="6" a="1"/>
  <c r="E117" i="6" s="1"/>
  <c r="D117" i="6" a="1"/>
  <c r="D117" i="6" s="1"/>
  <c r="C117" i="6"/>
  <c r="B117" i="6"/>
  <c r="A117" i="6"/>
  <c r="C116" i="6"/>
  <c r="B116" i="6"/>
  <c r="A116" i="6"/>
  <c r="G116" i="6" s="1" a="1"/>
  <c r="G116" i="6" s="1"/>
  <c r="G115" i="6" a="1"/>
  <c r="G115" i="6" s="1"/>
  <c r="F115" i="6" a="1"/>
  <c r="F115" i="6" s="1"/>
  <c r="E115" i="6" a="1"/>
  <c r="E115" i="6" s="1"/>
  <c r="C115" i="6"/>
  <c r="B115" i="6"/>
  <c r="A115" i="6"/>
  <c r="D115" i="6" s="1" a="1"/>
  <c r="D115" i="6" s="1"/>
  <c r="C114" i="6"/>
  <c r="B114" i="6"/>
  <c r="A114" i="6"/>
  <c r="C113" i="6"/>
  <c r="B113" i="6"/>
  <c r="A113" i="6"/>
  <c r="G113" i="6" s="1" a="1"/>
  <c r="G113" i="6" s="1"/>
  <c r="G112" i="6" a="1"/>
  <c r="G112" i="6"/>
  <c r="F112" i="6" a="1"/>
  <c r="F112" i="6" s="1"/>
  <c r="E112" i="6" a="1"/>
  <c r="E112" i="6" s="1"/>
  <c r="D112" i="6" a="1"/>
  <c r="D112" i="6" s="1"/>
  <c r="C112" i="6"/>
  <c r="B112" i="6"/>
  <c r="A112" i="6"/>
  <c r="C111" i="6"/>
  <c r="B111" i="6"/>
  <c r="A111" i="6"/>
  <c r="C110" i="6"/>
  <c r="B110" i="6"/>
  <c r="A110" i="6"/>
  <c r="E110" i="6" s="1" a="1"/>
  <c r="E110" i="6" s="1"/>
  <c r="G109" i="6" a="1"/>
  <c r="G109" i="6"/>
  <c r="F109" i="6" a="1"/>
  <c r="F109" i="6" s="1"/>
  <c r="E109" i="6" a="1"/>
  <c r="E109" i="6" s="1"/>
  <c r="C109" i="6"/>
  <c r="B109" i="6"/>
  <c r="A109" i="6"/>
  <c r="D109" i="6" s="1" a="1"/>
  <c r="D109" i="6" s="1"/>
  <c r="C108" i="6"/>
  <c r="B108" i="6"/>
  <c r="A108" i="6"/>
  <c r="G108" i="6" s="1" a="1"/>
  <c r="G108" i="6" s="1"/>
  <c r="G107" i="6" a="1"/>
  <c r="G107" i="6"/>
  <c r="F107" i="6" a="1"/>
  <c r="F107" i="6" s="1"/>
  <c r="E107" i="6" a="1"/>
  <c r="E107" i="6" s="1"/>
  <c r="D107" i="6" a="1"/>
  <c r="D107" i="6" s="1"/>
  <c r="C107" i="6"/>
  <c r="B107" i="6"/>
  <c r="A107" i="6"/>
  <c r="C106" i="6"/>
  <c r="B106" i="6"/>
  <c r="A106" i="6"/>
  <c r="G106" i="6" s="1" a="1"/>
  <c r="G106" i="6" s="1"/>
  <c r="C105" i="6"/>
  <c r="B105" i="6"/>
  <c r="A105" i="6"/>
  <c r="G105" i="6" s="1" a="1"/>
  <c r="G105" i="6" s="1"/>
  <c r="C104" i="6"/>
  <c r="B104" i="6"/>
  <c r="A104" i="6"/>
  <c r="G104" i="6" s="1" a="1"/>
  <c r="G104" i="6" s="1"/>
  <c r="G103" i="6" a="1"/>
  <c r="G103" i="6" s="1"/>
  <c r="C103" i="6"/>
  <c r="B103" i="6"/>
  <c r="A103" i="6"/>
  <c r="F103" i="6" s="1" a="1"/>
  <c r="F103" i="6" s="1"/>
  <c r="G102" i="6" a="1"/>
  <c r="G102" i="6"/>
  <c r="F102" i="6" a="1"/>
  <c r="F102" i="6" s="1"/>
  <c r="E102" i="6" a="1"/>
  <c r="E102" i="6" s="1"/>
  <c r="D102" i="6" a="1"/>
  <c r="D102" i="6" s="1"/>
  <c r="C102" i="6"/>
  <c r="B102" i="6"/>
  <c r="A102" i="6"/>
  <c r="E101" i="6" a="1"/>
  <c r="E101" i="6" s="1"/>
  <c r="D101" i="6" a="1"/>
  <c r="D101" i="6" s="1"/>
  <c r="C101" i="6"/>
  <c r="B101" i="6"/>
  <c r="A101" i="6"/>
  <c r="G101" i="6" s="1" a="1"/>
  <c r="G101" i="6" s="1"/>
  <c r="G100" i="6" a="1"/>
  <c r="G100" i="6" s="1"/>
  <c r="C100" i="6"/>
  <c r="B100" i="6"/>
  <c r="A100" i="6"/>
  <c r="F100" i="6" s="1" a="1"/>
  <c r="F100" i="6" s="1"/>
  <c r="C99" i="6"/>
  <c r="B99" i="6"/>
  <c r="A99" i="6"/>
  <c r="E98" i="6" a="1"/>
  <c r="E98" i="6" s="1"/>
  <c r="D98" i="6" a="1"/>
  <c r="D98" i="6" s="1"/>
  <c r="C98" i="6"/>
  <c r="B98" i="6"/>
  <c r="A98" i="6"/>
  <c r="G98" i="6" s="1" a="1"/>
  <c r="G98" i="6" s="1"/>
  <c r="G97" i="6" a="1"/>
  <c r="G97" i="6" s="1"/>
  <c r="F97" i="6" a="1"/>
  <c r="F97" i="6" s="1"/>
  <c r="E97" i="6" a="1"/>
  <c r="E97" i="6" s="1"/>
  <c r="D97" i="6" a="1"/>
  <c r="D97" i="6" s="1"/>
  <c r="C97" i="6"/>
  <c r="B97" i="6"/>
  <c r="A97" i="6"/>
  <c r="D96" i="6" a="1"/>
  <c r="D96" i="6" s="1"/>
  <c r="C96" i="6"/>
  <c r="B96" i="6"/>
  <c r="A96" i="6"/>
  <c r="G96" i="6" s="1" a="1"/>
  <c r="G96" i="6" s="1"/>
  <c r="G95" i="6" a="1"/>
  <c r="G95" i="6" s="1"/>
  <c r="F95" i="6" a="1"/>
  <c r="F95" i="6" s="1"/>
  <c r="E95" i="6" a="1"/>
  <c r="E95" i="6" s="1"/>
  <c r="D95" i="6" a="1"/>
  <c r="D95" i="6" s="1"/>
  <c r="C95" i="6"/>
  <c r="B95" i="6"/>
  <c r="A95" i="6"/>
  <c r="C94" i="6"/>
  <c r="B94" i="6"/>
  <c r="A94" i="6"/>
  <c r="D93" i="6" a="1"/>
  <c r="D93" i="6" s="1"/>
  <c r="C93" i="6"/>
  <c r="B93" i="6"/>
  <c r="A93" i="6"/>
  <c r="G93" i="6" s="1" a="1"/>
  <c r="G93" i="6" s="1"/>
  <c r="G92" i="6" a="1"/>
  <c r="G92" i="6"/>
  <c r="F92" i="6" a="1"/>
  <c r="F92" i="6" s="1"/>
  <c r="E92" i="6" a="1"/>
  <c r="E92" i="6" s="1"/>
  <c r="D92" i="6" a="1"/>
  <c r="D92" i="6" s="1"/>
  <c r="C92" i="6"/>
  <c r="B92" i="6"/>
  <c r="A92" i="6"/>
  <c r="C91" i="6"/>
  <c r="B91" i="6"/>
  <c r="A91" i="6"/>
  <c r="C90" i="6"/>
  <c r="B90" i="6"/>
  <c r="A90" i="6"/>
  <c r="G90" i="6" s="1" a="1"/>
  <c r="G90" i="6" s="1"/>
  <c r="G89" i="6" a="1"/>
  <c r="G89" i="6"/>
  <c r="F89" i="6" a="1"/>
  <c r="F89" i="6" s="1"/>
  <c r="E89" i="6" a="1"/>
  <c r="E89" i="6" s="1"/>
  <c r="D89" i="6" a="1"/>
  <c r="D89" i="6" s="1"/>
  <c r="C89" i="6"/>
  <c r="B89" i="6"/>
  <c r="A89" i="6"/>
  <c r="C88" i="6"/>
  <c r="B88" i="6"/>
  <c r="A88" i="6"/>
  <c r="G88" i="6" s="1" a="1"/>
  <c r="G88" i="6" s="1"/>
  <c r="D87" i="6" a="1"/>
  <c r="D87" i="6" s="1"/>
  <c r="C87" i="6"/>
  <c r="B87" i="6"/>
  <c r="A87" i="6"/>
  <c r="G87" i="6" s="1" a="1"/>
  <c r="G87" i="6" s="1"/>
  <c r="G86" i="6" a="1"/>
  <c r="G86" i="6"/>
  <c r="D86" i="6" a="1"/>
  <c r="D86" i="6" s="1"/>
  <c r="C86" i="6"/>
  <c r="B86" i="6"/>
  <c r="A86" i="6"/>
  <c r="G85" i="6" a="1"/>
  <c r="G85" i="6" s="1"/>
  <c r="C85" i="6"/>
  <c r="B85" i="6"/>
  <c r="A85" i="6"/>
  <c r="D85" i="6" s="1" a="1"/>
  <c r="D85" i="6" s="1"/>
  <c r="G84" i="6" a="1"/>
  <c r="G84" i="6" s="1"/>
  <c r="F84" i="6" a="1"/>
  <c r="F84" i="6" s="1"/>
  <c r="E84" i="6" a="1"/>
  <c r="E84" i="6" s="1"/>
  <c r="D84" i="6" a="1"/>
  <c r="D84" i="6" s="1"/>
  <c r="C84" i="6"/>
  <c r="B84" i="6"/>
  <c r="A84" i="6"/>
  <c r="G83" i="6"/>
  <c r="F83" i="6" a="1"/>
  <c r="F83" i="6" s="1"/>
  <c r="E83" i="6" a="1"/>
  <c r="E83" i="6" s="1"/>
  <c r="D83" i="6" a="1"/>
  <c r="D83" i="6" s="1"/>
  <c r="C83" i="6"/>
  <c r="B83" i="6"/>
  <c r="A83" i="6"/>
  <c r="G83" i="6" s="1" a="1"/>
  <c r="C82" i="6"/>
  <c r="B82" i="6"/>
  <c r="A82" i="6"/>
  <c r="F82" i="6" s="1" a="1"/>
  <c r="F82" i="6" s="1"/>
  <c r="C81" i="6"/>
  <c r="B81" i="6"/>
  <c r="A81" i="6"/>
  <c r="D81" i="6" s="1" a="1"/>
  <c r="D81" i="6" s="1"/>
  <c r="G80" i="6" a="1"/>
  <c r="G80" i="6"/>
  <c r="F80" i="6" a="1"/>
  <c r="F80" i="6" s="1"/>
  <c r="E80" i="6" a="1"/>
  <c r="E80" i="6" s="1"/>
  <c r="D80" i="6" a="1"/>
  <c r="D80" i="6" s="1"/>
  <c r="C80" i="6"/>
  <c r="B80" i="6"/>
  <c r="A80" i="6"/>
  <c r="G79" i="6" a="1"/>
  <c r="G79" i="6"/>
  <c r="F79" i="6" a="1"/>
  <c r="F79" i="6" s="1"/>
  <c r="E79" i="6" a="1"/>
  <c r="E79" i="6" s="1"/>
  <c r="D79" i="6" a="1"/>
  <c r="D79" i="6" s="1"/>
  <c r="C79" i="6"/>
  <c r="B79" i="6"/>
  <c r="A79" i="6"/>
  <c r="E78" i="6" a="1"/>
  <c r="E78" i="6" s="1"/>
  <c r="C78" i="6"/>
  <c r="B78" i="6"/>
  <c r="A78" i="6"/>
  <c r="G78" i="6" s="1" a="1"/>
  <c r="G78" i="6" s="1"/>
  <c r="G77" i="6" a="1"/>
  <c r="G77" i="6"/>
  <c r="E77" i="6" a="1"/>
  <c r="E77" i="6" s="1"/>
  <c r="D77" i="6" a="1"/>
  <c r="D77" i="6" s="1"/>
  <c r="C77" i="6"/>
  <c r="B77" i="6"/>
  <c r="A77" i="6"/>
  <c r="F77" i="6" s="1" a="1"/>
  <c r="F77" i="6" s="1"/>
  <c r="C76" i="6"/>
  <c r="B76" i="6"/>
  <c r="A76" i="6"/>
  <c r="C75" i="6"/>
  <c r="B75" i="6"/>
  <c r="A75" i="6"/>
  <c r="G75" i="6" s="1" a="1"/>
  <c r="G75" i="6" s="1"/>
  <c r="G74" i="6" a="1"/>
  <c r="G74" i="6"/>
  <c r="F74" i="6" a="1"/>
  <c r="F74" i="6" s="1"/>
  <c r="E74" i="6" a="1"/>
  <c r="E74" i="6" s="1"/>
  <c r="D74" i="6" a="1"/>
  <c r="D74" i="6" s="1"/>
  <c r="C74" i="6"/>
  <c r="B74" i="6"/>
  <c r="A74" i="6"/>
  <c r="E73" i="6" a="1"/>
  <c r="E73" i="6" s="1"/>
  <c r="D73" i="6" a="1"/>
  <c r="D73" i="6" s="1"/>
  <c r="C73" i="6"/>
  <c r="B73" i="6"/>
  <c r="A73" i="6"/>
  <c r="C72" i="6"/>
  <c r="B72" i="6"/>
  <c r="A72" i="6"/>
  <c r="F72" i="6" s="1" a="1"/>
  <c r="F72" i="6" s="1"/>
  <c r="G71" i="6" a="1"/>
  <c r="G71" i="6" s="1"/>
  <c r="C71" i="6"/>
  <c r="B71" i="6"/>
  <c r="A71" i="6"/>
  <c r="C70" i="6"/>
  <c r="B70" i="6"/>
  <c r="A70" i="6"/>
  <c r="D70" i="6" s="1" a="1"/>
  <c r="D70" i="6" s="1"/>
  <c r="G69" i="6" a="1"/>
  <c r="G69" i="6" s="1"/>
  <c r="F69" i="6" a="1"/>
  <c r="F69" i="6" s="1"/>
  <c r="E69" i="6" a="1"/>
  <c r="E69" i="6" s="1"/>
  <c r="D69" i="6" a="1"/>
  <c r="D69" i="6" s="1"/>
  <c r="C69" i="6"/>
  <c r="B69" i="6"/>
  <c r="A69" i="6"/>
  <c r="G68" i="6" a="1"/>
  <c r="G68" i="6" s="1"/>
  <c r="F68" i="6" a="1"/>
  <c r="F68" i="6" s="1"/>
  <c r="E68" i="6" a="1"/>
  <c r="E68" i="6" s="1"/>
  <c r="D68" i="6" a="1"/>
  <c r="D68" i="6" s="1"/>
  <c r="C68" i="6"/>
  <c r="B68" i="6"/>
  <c r="A68" i="6"/>
  <c r="D67" i="6" a="1"/>
  <c r="D67" i="6" s="1"/>
  <c r="C67" i="6"/>
  <c r="B67" i="6"/>
  <c r="A67" i="6"/>
  <c r="G67" i="6" s="1" a="1"/>
  <c r="G67" i="6" s="1"/>
  <c r="G66" i="6" a="1"/>
  <c r="G66" i="6" s="1"/>
  <c r="D66" i="6" a="1"/>
  <c r="D66" i="6"/>
  <c r="C66" i="6"/>
  <c r="B66" i="6"/>
  <c r="A66" i="6"/>
  <c r="G65" i="6" a="1"/>
  <c r="G65" i="6" s="1"/>
  <c r="C65" i="6"/>
  <c r="B65" i="6"/>
  <c r="A65" i="6"/>
  <c r="D65" i="6" s="1" a="1"/>
  <c r="D65" i="6" s="1"/>
  <c r="G64" i="6" a="1"/>
  <c r="G64" i="6" s="1"/>
  <c r="F64" i="6" a="1"/>
  <c r="F64" i="6" s="1"/>
  <c r="E64" i="6" a="1"/>
  <c r="E64" i="6" s="1"/>
  <c r="D64" i="6" a="1"/>
  <c r="D64" i="6" s="1"/>
  <c r="C64" i="6"/>
  <c r="B64" i="6"/>
  <c r="A64" i="6"/>
  <c r="G63" i="6" a="1"/>
  <c r="G63" i="6"/>
  <c r="F63" i="6" a="1"/>
  <c r="F63" i="6" s="1"/>
  <c r="E63" i="6" a="1"/>
  <c r="E63" i="6" s="1"/>
  <c r="D63" i="6" a="1"/>
  <c r="D63" i="6" s="1"/>
  <c r="C63" i="6"/>
  <c r="B63" i="6"/>
  <c r="A63" i="6"/>
  <c r="D62" i="6" a="1"/>
  <c r="D62" i="6" s="1"/>
  <c r="C62" i="6"/>
  <c r="B62" i="6"/>
  <c r="A62" i="6"/>
  <c r="G62" i="6" s="1" a="1"/>
  <c r="G62" i="6" s="1"/>
  <c r="C61" i="6"/>
  <c r="B61" i="6"/>
  <c r="A61" i="6"/>
  <c r="G60" i="6" a="1"/>
  <c r="G60" i="6"/>
  <c r="F60" i="6" a="1"/>
  <c r="F60" i="6" s="1"/>
  <c r="D60" i="6" a="1"/>
  <c r="D60" i="6" s="1"/>
  <c r="C60" i="6"/>
  <c r="B60" i="6"/>
  <c r="A60" i="6"/>
  <c r="E60" i="6" s="1" a="1"/>
  <c r="E60" i="6" s="1"/>
  <c r="G59" i="6" a="1"/>
  <c r="G59" i="6"/>
  <c r="F59" i="6" a="1"/>
  <c r="F59" i="6" s="1"/>
  <c r="E59" i="6" a="1"/>
  <c r="E59" i="6" s="1"/>
  <c r="D59" i="6" a="1"/>
  <c r="D59" i="6" s="1"/>
  <c r="C59" i="6"/>
  <c r="B59" i="6"/>
  <c r="A59" i="6"/>
  <c r="G58" i="6" a="1"/>
  <c r="G58" i="6"/>
  <c r="F58" i="6" a="1"/>
  <c r="F58" i="6" s="1"/>
  <c r="E58" i="6" a="1"/>
  <c r="E58" i="6" s="1"/>
  <c r="D58" i="6" a="1"/>
  <c r="D58" i="6" s="1"/>
  <c r="C58" i="6"/>
  <c r="B58" i="6"/>
  <c r="A58" i="6"/>
  <c r="G57" i="6" a="1"/>
  <c r="G57" i="6"/>
  <c r="F57" i="6" a="1"/>
  <c r="F57" i="6" s="1"/>
  <c r="E57" i="6" a="1"/>
  <c r="E57" i="6" s="1"/>
  <c r="C57" i="6"/>
  <c r="B57" i="6"/>
  <c r="A57" i="6"/>
  <c r="D57" i="6" s="1" a="1"/>
  <c r="D57" i="6" s="1"/>
  <c r="C56" i="6"/>
  <c r="B56" i="6"/>
  <c r="A56" i="6"/>
  <c r="C55" i="6"/>
  <c r="B55" i="6"/>
  <c r="A55" i="6"/>
  <c r="G55" i="6" s="1" a="1"/>
  <c r="G55" i="6" s="1"/>
  <c r="G54" i="6" a="1"/>
  <c r="G54" i="6"/>
  <c r="F54" i="6" a="1"/>
  <c r="F54" i="6" s="1"/>
  <c r="E54" i="6" a="1"/>
  <c r="E54" i="6" s="1"/>
  <c r="C54" i="6"/>
  <c r="B54" i="6"/>
  <c r="A54" i="6"/>
  <c r="D54" i="6" s="1" a="1"/>
  <c r="D54" i="6" s="1"/>
  <c r="G53" i="6" a="1"/>
  <c r="G53" i="6" s="1"/>
  <c r="F53" i="6" a="1"/>
  <c r="F53" i="6" s="1"/>
  <c r="E53" i="6" a="1"/>
  <c r="E53" i="6" s="1"/>
  <c r="D53" i="6" a="1"/>
  <c r="D53" i="6" s="1"/>
  <c r="C53" i="6"/>
  <c r="B53" i="6"/>
  <c r="A53" i="6"/>
  <c r="C52" i="6"/>
  <c r="B52" i="6"/>
  <c r="A52" i="6"/>
  <c r="G52" i="6" s="1" a="1"/>
  <c r="G52" i="6" s="1"/>
  <c r="G51" i="6" a="1"/>
  <c r="G51" i="6"/>
  <c r="C51" i="6"/>
  <c r="B51" i="6"/>
  <c r="A51" i="6"/>
  <c r="D50" i="6" a="1"/>
  <c r="D50" i="6" s="1"/>
  <c r="C50" i="6"/>
  <c r="B50" i="6"/>
  <c r="A50" i="6"/>
  <c r="G50" i="6" s="1" a="1"/>
  <c r="G50" i="6" s="1"/>
  <c r="G49" i="6" a="1"/>
  <c r="G49" i="6" s="1"/>
  <c r="F49" i="6" a="1"/>
  <c r="F49" i="6" s="1"/>
  <c r="E49" i="6" a="1"/>
  <c r="E49" i="6" s="1"/>
  <c r="D49" i="6" a="1"/>
  <c r="D49" i="6" s="1"/>
  <c r="C49" i="6"/>
  <c r="B49" i="6"/>
  <c r="A49" i="6"/>
  <c r="F48" i="6" a="1"/>
  <c r="F48" i="6" s="1"/>
  <c r="E48" i="6" a="1"/>
  <c r="E48" i="6" s="1"/>
  <c r="D48" i="6" a="1"/>
  <c r="D48" i="6" s="1"/>
  <c r="C48" i="6"/>
  <c r="B48" i="6"/>
  <c r="A48" i="6"/>
  <c r="G48" i="6" s="1" a="1"/>
  <c r="G48" i="6" s="1"/>
  <c r="D47" i="6" a="1"/>
  <c r="D47" i="6" s="1"/>
  <c r="C47" i="6"/>
  <c r="B47" i="6"/>
  <c r="A47" i="6"/>
  <c r="E47" i="6" s="1" a="1"/>
  <c r="E47" i="6" s="1"/>
  <c r="G46" i="6" a="1"/>
  <c r="G46" i="6" s="1"/>
  <c r="F46" i="6" a="1"/>
  <c r="F46" i="6" s="1"/>
  <c r="E46" i="6" a="1"/>
  <c r="E46" i="6" s="1"/>
  <c r="C46" i="6"/>
  <c r="B46" i="6"/>
  <c r="A46" i="6"/>
  <c r="D46" i="6" s="1" a="1"/>
  <c r="D46" i="6" s="1"/>
  <c r="G45" i="6" a="1"/>
  <c r="G45" i="6"/>
  <c r="F45" i="6" a="1"/>
  <c r="F45" i="6" s="1"/>
  <c r="E45" i="6" a="1"/>
  <c r="E45" i="6" s="1"/>
  <c r="D45" i="6" a="1"/>
  <c r="D45" i="6" s="1"/>
  <c r="C45" i="6"/>
  <c r="B45" i="6"/>
  <c r="A45" i="6"/>
  <c r="C44" i="6"/>
  <c r="B44" i="6"/>
  <c r="A44" i="6"/>
  <c r="G44" i="6" s="1" a="1"/>
  <c r="G44" i="6" s="1"/>
  <c r="C43" i="6"/>
  <c r="B43" i="6"/>
  <c r="A43" i="6"/>
  <c r="G42" i="6" a="1"/>
  <c r="G42" i="6"/>
  <c r="F42" i="6" a="1"/>
  <c r="F42" i="6" s="1"/>
  <c r="E42" i="6" a="1"/>
  <c r="E42" i="6" s="1"/>
  <c r="D42" i="6" a="1"/>
  <c r="D42" i="6" s="1"/>
  <c r="C42" i="6"/>
  <c r="B42" i="6"/>
  <c r="A42" i="6"/>
  <c r="G41" i="6" a="1"/>
  <c r="G41" i="6"/>
  <c r="F41" i="6" a="1"/>
  <c r="F41" i="6" s="1"/>
  <c r="E41" i="6" a="1"/>
  <c r="E41" i="6" s="1"/>
  <c r="D41" i="6" a="1"/>
  <c r="D41" i="6" s="1"/>
  <c r="C41" i="6"/>
  <c r="B41" i="6"/>
  <c r="A41" i="6"/>
  <c r="C40" i="6"/>
  <c r="B40" i="6"/>
  <c r="A40" i="6"/>
  <c r="G40" i="6" s="1" a="1"/>
  <c r="G40" i="6" s="1"/>
  <c r="G39" i="6"/>
  <c r="F39" i="6" a="1"/>
  <c r="F39" i="6" s="1"/>
  <c r="E39" i="6" a="1"/>
  <c r="E39" i="6" s="1"/>
  <c r="C39" i="6"/>
  <c r="B39" i="6"/>
  <c r="A39" i="6"/>
  <c r="G39" i="6" s="1" a="1"/>
  <c r="C38" i="6"/>
  <c r="B38" i="6"/>
  <c r="A38" i="6"/>
  <c r="E37" i="6" a="1"/>
  <c r="E37" i="6" s="1"/>
  <c r="C37" i="6"/>
  <c r="B37" i="6"/>
  <c r="A37" i="6"/>
  <c r="D37" i="6" s="1" a="1"/>
  <c r="D37" i="6" s="1"/>
  <c r="G36" i="6" a="1"/>
  <c r="G36" i="6"/>
  <c r="F36" i="6" a="1"/>
  <c r="F36" i="6" s="1"/>
  <c r="E36" i="6" a="1"/>
  <c r="E36" i="6" s="1"/>
  <c r="C36" i="6"/>
  <c r="B36" i="6"/>
  <c r="A36" i="6"/>
  <c r="D36" i="6" s="1" a="1"/>
  <c r="D36" i="6" s="1"/>
  <c r="C35" i="6"/>
  <c r="B35" i="6"/>
  <c r="A35" i="6"/>
  <c r="G35" i="6" s="1" a="1"/>
  <c r="G35" i="6" s="1"/>
  <c r="G34" i="6" a="1"/>
  <c r="G34" i="6" s="1"/>
  <c r="F34" i="6" a="1"/>
  <c r="F34" i="6" s="1"/>
  <c r="E34" i="6" a="1"/>
  <c r="E34" i="6" s="1"/>
  <c r="D34" i="6" a="1"/>
  <c r="D34" i="6" s="1"/>
  <c r="C34" i="6"/>
  <c r="B34" i="6"/>
  <c r="A34" i="6"/>
  <c r="C33" i="6"/>
  <c r="B33" i="6"/>
  <c r="A33" i="6"/>
  <c r="G33" i="6" s="1" a="1"/>
  <c r="G33" i="6" s="1"/>
  <c r="D32" i="6" a="1"/>
  <c r="D32" i="6" s="1"/>
  <c r="C32" i="6"/>
  <c r="B32" i="6"/>
  <c r="A32" i="6"/>
  <c r="F32" i="6" s="1" a="1"/>
  <c r="F32" i="6" s="1"/>
  <c r="G31" i="6" a="1"/>
  <c r="G31" i="6"/>
  <c r="C31" i="6"/>
  <c r="B31" i="6"/>
  <c r="A31" i="6"/>
  <c r="C30" i="6"/>
  <c r="B30" i="6"/>
  <c r="A30" i="6"/>
  <c r="D30" i="6" s="1" a="1"/>
  <c r="D30" i="6" s="1"/>
  <c r="G29" i="6" a="1"/>
  <c r="G29" i="6" s="1"/>
  <c r="F29" i="6" a="1"/>
  <c r="F29" i="6" s="1"/>
  <c r="E29" i="6" a="1"/>
  <c r="E29" i="6" s="1"/>
  <c r="D29" i="6" a="1"/>
  <c r="D29" i="6" s="1"/>
  <c r="C29" i="6"/>
  <c r="B29" i="6"/>
  <c r="A29" i="6"/>
  <c r="G28" i="6"/>
  <c r="F28" i="6" a="1"/>
  <c r="F28" i="6" s="1"/>
  <c r="E28" i="6" a="1"/>
  <c r="E28" i="6" s="1"/>
  <c r="D28" i="6" a="1"/>
  <c r="D28" i="6" s="1"/>
  <c r="C28" i="6"/>
  <c r="B28" i="6"/>
  <c r="A28" i="6"/>
  <c r="G28" i="6" s="1" a="1"/>
  <c r="C27" i="6"/>
  <c r="B27" i="6"/>
  <c r="A27" i="6"/>
  <c r="G27" i="6" s="1" a="1"/>
  <c r="G27" i="6" s="1"/>
  <c r="C26" i="6"/>
  <c r="B26" i="6"/>
  <c r="A26" i="6"/>
  <c r="G25" i="6" a="1"/>
  <c r="G25" i="6"/>
  <c r="F25" i="6" a="1"/>
  <c r="F25" i="6"/>
  <c r="E25" i="6" a="1"/>
  <c r="E25" i="6" s="1"/>
  <c r="D25" i="6" a="1"/>
  <c r="D25" i="6" s="1"/>
  <c r="C25" i="6"/>
  <c r="B25" i="6"/>
  <c r="A25" i="6"/>
  <c r="G24" i="6" a="1"/>
  <c r="G24" i="6"/>
  <c r="F24" i="6" a="1"/>
  <c r="F24" i="6" s="1"/>
  <c r="E24" i="6" a="1"/>
  <c r="E24" i="6" s="1"/>
  <c r="D24" i="6" a="1"/>
  <c r="D24" i="6" s="1"/>
  <c r="C24" i="6"/>
  <c r="B24" i="6"/>
  <c r="A24" i="6"/>
  <c r="D23" i="6" a="1"/>
  <c r="D23" i="6" s="1"/>
  <c r="C23" i="6"/>
  <c r="B23" i="6"/>
  <c r="A23" i="6"/>
  <c r="G22" i="6" a="1"/>
  <c r="G22" i="6"/>
  <c r="F22" i="6" a="1"/>
  <c r="F22" i="6" s="1"/>
  <c r="D22" i="6" a="1"/>
  <c r="D22" i="6" s="1"/>
  <c r="C22" i="6"/>
  <c r="B22" i="6"/>
  <c r="A22" i="6"/>
  <c r="E22" i="6" s="1" a="1"/>
  <c r="E22" i="6" s="1"/>
  <c r="C21" i="6"/>
  <c r="B21" i="6"/>
  <c r="A21" i="6"/>
  <c r="C20" i="6"/>
  <c r="B20" i="6"/>
  <c r="A20" i="6"/>
  <c r="C19" i="6"/>
  <c r="B19" i="6"/>
  <c r="A19" i="6"/>
  <c r="C18" i="6"/>
  <c r="B18" i="6"/>
  <c r="A18" i="6"/>
  <c r="F18" i="6" s="1" a="1"/>
  <c r="F18" i="6" s="1"/>
  <c r="C17" i="6"/>
  <c r="B17" i="6"/>
  <c r="A17" i="6"/>
  <c r="E17" i="6" s="1" a="1"/>
  <c r="E17" i="6" s="1"/>
  <c r="C16" i="6"/>
  <c r="B16" i="6"/>
  <c r="A16" i="6"/>
  <c r="C15" i="6"/>
  <c r="B15" i="6"/>
  <c r="A15" i="6"/>
  <c r="C14" i="6"/>
  <c r="B14" i="6"/>
  <c r="A14" i="6"/>
  <c r="C13" i="6"/>
  <c r="B13" i="6"/>
  <c r="A13" i="6"/>
  <c r="D13" i="6" s="1" a="1"/>
  <c r="D13" i="6" s="1"/>
  <c r="C12" i="6"/>
  <c r="B12" i="6"/>
  <c r="A12" i="6"/>
  <c r="G12" i="6" s="1" a="1"/>
  <c r="G12" i="6" s="1"/>
  <c r="C11" i="6"/>
  <c r="B11" i="6"/>
  <c r="A11" i="6"/>
  <c r="C10" i="6"/>
  <c r="B10" i="6"/>
  <c r="A10" i="6"/>
  <c r="C9" i="6"/>
  <c r="B9" i="6"/>
  <c r="A9" i="6"/>
  <c r="G9" i="6" s="1" a="1"/>
  <c r="G9" i="6" s="1"/>
  <c r="C8" i="6"/>
  <c r="B8" i="6"/>
  <c r="A8" i="6"/>
  <c r="G7" i="6" a="1"/>
  <c r="G7" i="6" s="1"/>
  <c r="F7" i="6" a="1"/>
  <c r="F7" i="6" s="1"/>
  <c r="E7" i="6" a="1"/>
  <c r="E7" i="6" s="1"/>
  <c r="C7" i="6"/>
  <c r="B7" i="6"/>
  <c r="A7" i="6"/>
  <c r="C6" i="6"/>
  <c r="B6" i="6"/>
  <c r="A6" i="6"/>
  <c r="C5" i="6"/>
  <c r="B5" i="6"/>
  <c r="A5" i="6"/>
  <c r="C4" i="6"/>
  <c r="B4" i="6"/>
  <c r="A4" i="6"/>
  <c r="G4" i="6" s="1" a="1"/>
  <c r="G4" i="6" s="1"/>
  <c r="C3" i="6"/>
  <c r="B3" i="6"/>
  <c r="A3" i="6"/>
  <c r="G2" i="6" a="1"/>
  <c r="G2" i="6"/>
  <c r="C2" i="6"/>
  <c r="B2" i="6"/>
  <c r="A2" i="6"/>
  <c r="M500" i="5" a="1"/>
  <c r="M500" i="5" s="1"/>
  <c r="L500" i="5" a="1"/>
  <c r="L500" i="5"/>
  <c r="K500" i="5" a="1"/>
  <c r="K500" i="5" s="1"/>
  <c r="J500" i="5" a="1"/>
  <c r="J500" i="5" s="1"/>
  <c r="I500" i="5" a="1"/>
  <c r="I500" i="5" s="1"/>
  <c r="H500" i="5"/>
  <c r="M499" i="5" a="1"/>
  <c r="M499" i="5" s="1"/>
  <c r="L499" i="5" a="1"/>
  <c r="L499" i="5" s="1"/>
  <c r="K499" i="5" a="1"/>
  <c r="K499" i="5" s="1"/>
  <c r="J499" i="5" a="1"/>
  <c r="J499" i="5" s="1"/>
  <c r="I499" i="5" a="1"/>
  <c r="I499" i="5" s="1"/>
  <c r="H499" i="5"/>
  <c r="M498" i="5" a="1"/>
  <c r="M498" i="5" s="1"/>
  <c r="L498" i="5" a="1"/>
  <c r="L498" i="5" s="1"/>
  <c r="K498" i="5" a="1"/>
  <c r="K498" i="5" s="1"/>
  <c r="J498" i="5" a="1"/>
  <c r="J498" i="5" s="1"/>
  <c r="I498" i="5" a="1"/>
  <c r="I498" i="5"/>
  <c r="H498" i="5"/>
  <c r="M497" i="5" a="1"/>
  <c r="M497" i="5"/>
  <c r="L497" i="5" a="1"/>
  <c r="L497" i="5" s="1"/>
  <c r="K497" i="5" a="1"/>
  <c r="K497" i="5" s="1"/>
  <c r="J497" i="5" a="1"/>
  <c r="J497" i="5"/>
  <c r="I497" i="5" a="1"/>
  <c r="I497" i="5" s="1"/>
  <c r="H497" i="5"/>
  <c r="M496" i="5" a="1"/>
  <c r="M496" i="5" s="1"/>
  <c r="L496" i="5" a="1"/>
  <c r="L496" i="5" s="1"/>
  <c r="K496" i="5" a="1"/>
  <c r="K496" i="5" s="1"/>
  <c r="J496" i="5" a="1"/>
  <c r="J496" i="5" s="1"/>
  <c r="I496" i="5" a="1"/>
  <c r="I496" i="5" s="1"/>
  <c r="H496" i="5"/>
  <c r="M495" i="5" a="1"/>
  <c r="M495" i="5" s="1"/>
  <c r="L495" i="5" a="1"/>
  <c r="L495" i="5" s="1"/>
  <c r="K495" i="5" a="1"/>
  <c r="K495" i="5" s="1"/>
  <c r="J495" i="5" a="1"/>
  <c r="J495" i="5" s="1"/>
  <c r="I495" i="5" a="1"/>
  <c r="I495" i="5" s="1"/>
  <c r="H495" i="5"/>
  <c r="M494" i="5" a="1"/>
  <c r="M494" i="5" s="1"/>
  <c r="L494" i="5" a="1"/>
  <c r="L494" i="5" s="1"/>
  <c r="K494" i="5" a="1"/>
  <c r="K494" i="5" s="1"/>
  <c r="J494" i="5" a="1"/>
  <c r="J494" i="5" s="1"/>
  <c r="I494" i="5" a="1"/>
  <c r="I494" i="5" s="1"/>
  <c r="H494" i="5"/>
  <c r="M493" i="5" a="1"/>
  <c r="M493" i="5" s="1"/>
  <c r="L493" i="5" a="1"/>
  <c r="L493" i="5" s="1"/>
  <c r="K493" i="5" a="1"/>
  <c r="K493" i="5" s="1"/>
  <c r="J493" i="5" a="1"/>
  <c r="J493" i="5" s="1"/>
  <c r="I493" i="5" a="1"/>
  <c r="I493" i="5" s="1"/>
  <c r="H493" i="5"/>
  <c r="M492" i="5" a="1"/>
  <c r="M492" i="5" s="1"/>
  <c r="L492" i="5" a="1"/>
  <c r="L492" i="5" s="1"/>
  <c r="K492" i="5" a="1"/>
  <c r="K492" i="5" s="1"/>
  <c r="J492" i="5" a="1"/>
  <c r="J492" i="5" s="1"/>
  <c r="I492" i="5" a="1"/>
  <c r="I492" i="5" s="1"/>
  <c r="H492" i="5"/>
  <c r="M491" i="5" a="1"/>
  <c r="M491" i="5"/>
  <c r="L491" i="5" a="1"/>
  <c r="L491" i="5" s="1"/>
  <c r="K491" i="5" a="1"/>
  <c r="K491" i="5" s="1"/>
  <c r="J491" i="5" a="1"/>
  <c r="J491" i="5" s="1"/>
  <c r="I491" i="5" a="1"/>
  <c r="I491" i="5" s="1"/>
  <c r="H491" i="5"/>
  <c r="M490" i="5" a="1"/>
  <c r="M490" i="5" s="1"/>
  <c r="L490" i="5" a="1"/>
  <c r="L490" i="5" s="1"/>
  <c r="K490" i="5" a="1"/>
  <c r="K490" i="5" s="1"/>
  <c r="J490" i="5" a="1"/>
  <c r="J490" i="5" s="1"/>
  <c r="I490" i="5" a="1"/>
  <c r="I490" i="5" s="1"/>
  <c r="H490" i="5"/>
  <c r="M489" i="5" a="1"/>
  <c r="M489" i="5" s="1"/>
  <c r="L489" i="5" a="1"/>
  <c r="L489" i="5" s="1"/>
  <c r="K489" i="5" a="1"/>
  <c r="K489" i="5" s="1"/>
  <c r="J489" i="5" a="1"/>
  <c r="J489" i="5" s="1"/>
  <c r="I489" i="5" a="1"/>
  <c r="I489" i="5" s="1"/>
  <c r="H489" i="5"/>
  <c r="M488" i="5" a="1"/>
  <c r="M488" i="5" s="1"/>
  <c r="L488" i="5" a="1"/>
  <c r="L488" i="5" s="1"/>
  <c r="K488" i="5" a="1"/>
  <c r="K488" i="5"/>
  <c r="J488" i="5" a="1"/>
  <c r="J488" i="5" s="1"/>
  <c r="I488" i="5" a="1"/>
  <c r="I488" i="5" s="1"/>
  <c r="H488" i="5"/>
  <c r="M487" i="5" a="1"/>
  <c r="M487" i="5" s="1"/>
  <c r="L487" i="5" a="1"/>
  <c r="L487" i="5" s="1"/>
  <c r="K487" i="5" a="1"/>
  <c r="K487" i="5" s="1"/>
  <c r="J487" i="5" a="1"/>
  <c r="J487" i="5" s="1"/>
  <c r="I487" i="5" a="1"/>
  <c r="I487" i="5" s="1"/>
  <c r="H487" i="5"/>
  <c r="M486" i="5" a="1"/>
  <c r="M486" i="5" s="1"/>
  <c r="L486" i="5" a="1"/>
  <c r="L486" i="5" s="1"/>
  <c r="K486" i="5" a="1"/>
  <c r="K486" i="5" s="1"/>
  <c r="J486" i="5" a="1"/>
  <c r="J486" i="5" s="1"/>
  <c r="I486" i="5" a="1"/>
  <c r="I486" i="5" s="1"/>
  <c r="H486" i="5"/>
  <c r="M485" i="5" a="1"/>
  <c r="M485" i="5" s="1"/>
  <c r="L485" i="5" a="1"/>
  <c r="L485" i="5" s="1"/>
  <c r="K485" i="5" a="1"/>
  <c r="K485" i="5" s="1"/>
  <c r="J485" i="5" a="1"/>
  <c r="J485" i="5" s="1"/>
  <c r="I485" i="5" a="1"/>
  <c r="I485" i="5" s="1"/>
  <c r="H485" i="5"/>
  <c r="M484" i="5" a="1"/>
  <c r="M484" i="5" s="1"/>
  <c r="L484" i="5" a="1"/>
  <c r="L484" i="5"/>
  <c r="K484" i="5" a="1"/>
  <c r="K484" i="5" s="1"/>
  <c r="J484" i="5" a="1"/>
  <c r="J484" i="5" s="1"/>
  <c r="I484" i="5" a="1"/>
  <c r="I484" i="5" s="1"/>
  <c r="H484" i="5"/>
  <c r="M483" i="5" a="1"/>
  <c r="M483" i="5" s="1"/>
  <c r="L483" i="5" a="1"/>
  <c r="L483" i="5"/>
  <c r="K483" i="5" a="1"/>
  <c r="K483" i="5" s="1"/>
  <c r="J483" i="5" a="1"/>
  <c r="J483" i="5" s="1"/>
  <c r="I483" i="5" a="1"/>
  <c r="I483" i="5" s="1"/>
  <c r="H483" i="5"/>
  <c r="M482" i="5" a="1"/>
  <c r="M482" i="5"/>
  <c r="L482" i="5" a="1"/>
  <c r="L482" i="5" s="1"/>
  <c r="K482" i="5" a="1"/>
  <c r="K482" i="5" s="1"/>
  <c r="J482" i="5" a="1"/>
  <c r="J482" i="5" s="1"/>
  <c r="I482" i="5" a="1"/>
  <c r="I482" i="5" s="1"/>
  <c r="H482" i="5"/>
  <c r="M481" i="5" a="1"/>
  <c r="M481" i="5" s="1"/>
  <c r="L481" i="5" a="1"/>
  <c r="L481" i="5" s="1"/>
  <c r="K481" i="5" a="1"/>
  <c r="K481" i="5" s="1"/>
  <c r="J481" i="5" a="1"/>
  <c r="J481" i="5" s="1"/>
  <c r="I481" i="5" a="1"/>
  <c r="I481" i="5" s="1"/>
  <c r="H481" i="5"/>
  <c r="M480" i="5" a="1"/>
  <c r="M480" i="5" s="1"/>
  <c r="L480" i="5" a="1"/>
  <c r="L480" i="5" s="1"/>
  <c r="K480" i="5" a="1"/>
  <c r="K480" i="5" s="1"/>
  <c r="J480" i="5" a="1"/>
  <c r="J480" i="5" s="1"/>
  <c r="I480" i="5" a="1"/>
  <c r="I480" i="5" s="1"/>
  <c r="H480" i="5"/>
  <c r="M479" i="5" a="1"/>
  <c r="M479" i="5" s="1"/>
  <c r="L479" i="5" a="1"/>
  <c r="L479" i="5" s="1"/>
  <c r="K479" i="5" a="1"/>
  <c r="K479" i="5"/>
  <c r="J479" i="5" a="1"/>
  <c r="J479" i="5" s="1"/>
  <c r="I479" i="5" a="1"/>
  <c r="I479" i="5" s="1"/>
  <c r="H479" i="5"/>
  <c r="M478" i="5" a="1"/>
  <c r="M478" i="5" s="1"/>
  <c r="L478" i="5" a="1"/>
  <c r="L478" i="5" s="1"/>
  <c r="K478" i="5" a="1"/>
  <c r="K478" i="5"/>
  <c r="J478" i="5" a="1"/>
  <c r="J478" i="5"/>
  <c r="I478" i="5" a="1"/>
  <c r="I478" i="5" s="1"/>
  <c r="H478" i="5"/>
  <c r="M477" i="5" a="1"/>
  <c r="M477" i="5" s="1"/>
  <c r="L477" i="5" a="1"/>
  <c r="L477" i="5" s="1"/>
  <c r="K477" i="5" a="1"/>
  <c r="K477" i="5" s="1"/>
  <c r="J477" i="5" a="1"/>
  <c r="J477" i="5" s="1"/>
  <c r="I477" i="5" a="1"/>
  <c r="I477" i="5" s="1"/>
  <c r="H477" i="5"/>
  <c r="M476" i="5" a="1"/>
  <c r="M476" i="5" s="1"/>
  <c r="L476" i="5" a="1"/>
  <c r="L476" i="5" s="1"/>
  <c r="K476" i="5" a="1"/>
  <c r="K476" i="5" s="1"/>
  <c r="J476" i="5" a="1"/>
  <c r="J476" i="5" s="1"/>
  <c r="I476" i="5" a="1"/>
  <c r="I476" i="5" s="1"/>
  <c r="H476" i="5"/>
  <c r="M475" i="5" a="1"/>
  <c r="M475" i="5" s="1"/>
  <c r="L475" i="5" a="1"/>
  <c r="L475" i="5" s="1"/>
  <c r="K475" i="5" a="1"/>
  <c r="K475" i="5" s="1"/>
  <c r="J475" i="5" a="1"/>
  <c r="J475" i="5"/>
  <c r="I475" i="5" a="1"/>
  <c r="I475" i="5" s="1"/>
  <c r="H475" i="5"/>
  <c r="M474" i="5" a="1"/>
  <c r="M474" i="5" s="1"/>
  <c r="L474" i="5" a="1"/>
  <c r="L474" i="5" s="1"/>
  <c r="K474" i="5" a="1"/>
  <c r="K474" i="5" s="1"/>
  <c r="J474" i="5" a="1"/>
  <c r="J474" i="5" s="1"/>
  <c r="I474" i="5" a="1"/>
  <c r="I474" i="5" s="1"/>
  <c r="H474" i="5"/>
  <c r="M473" i="5" a="1"/>
  <c r="M473" i="5" s="1"/>
  <c r="L473" i="5" a="1"/>
  <c r="L473" i="5" s="1"/>
  <c r="K473" i="5" a="1"/>
  <c r="K473" i="5" s="1"/>
  <c r="J473" i="5" a="1"/>
  <c r="J473" i="5" s="1"/>
  <c r="I473" i="5" a="1"/>
  <c r="I473" i="5" s="1"/>
  <c r="H473" i="5"/>
  <c r="M472" i="5" a="1"/>
  <c r="M472" i="5" s="1"/>
  <c r="L472" i="5" a="1"/>
  <c r="L472" i="5" s="1"/>
  <c r="K472" i="5" a="1"/>
  <c r="K472" i="5" s="1"/>
  <c r="J472" i="5" a="1"/>
  <c r="J472" i="5" s="1"/>
  <c r="I472" i="5" a="1"/>
  <c r="I472" i="5" s="1"/>
  <c r="H472" i="5"/>
  <c r="M471" i="5" a="1"/>
  <c r="M471" i="5" s="1"/>
  <c r="L471" i="5" a="1"/>
  <c r="L471" i="5" s="1"/>
  <c r="K471" i="5" a="1"/>
  <c r="K471" i="5" s="1"/>
  <c r="J471" i="5" a="1"/>
  <c r="J471" i="5"/>
  <c r="I471" i="5" a="1"/>
  <c r="I471" i="5" s="1"/>
  <c r="H471" i="5"/>
  <c r="M470" i="5" a="1"/>
  <c r="M470" i="5" s="1"/>
  <c r="L470" i="5" a="1"/>
  <c r="L470" i="5" s="1"/>
  <c r="K470" i="5" a="1"/>
  <c r="K470" i="5" s="1"/>
  <c r="J470" i="5" a="1"/>
  <c r="J470" i="5" s="1"/>
  <c r="I470" i="5" a="1"/>
  <c r="I470" i="5" s="1"/>
  <c r="H470" i="5"/>
  <c r="M469" i="5" a="1"/>
  <c r="M469" i="5" s="1"/>
  <c r="L469" i="5" a="1"/>
  <c r="L469" i="5" s="1"/>
  <c r="K469" i="5" a="1"/>
  <c r="K469" i="5" s="1"/>
  <c r="J469" i="5" a="1"/>
  <c r="J469" i="5" s="1"/>
  <c r="I469" i="5" a="1"/>
  <c r="I469" i="5" s="1"/>
  <c r="H469" i="5"/>
  <c r="M468" i="5" a="1"/>
  <c r="M468" i="5" s="1"/>
  <c r="L468" i="5" a="1"/>
  <c r="L468" i="5" s="1"/>
  <c r="K468" i="5" a="1"/>
  <c r="K468" i="5" s="1"/>
  <c r="J468" i="5" a="1"/>
  <c r="J468" i="5" s="1"/>
  <c r="I468" i="5" a="1"/>
  <c r="I468" i="5" s="1"/>
  <c r="H468" i="5"/>
  <c r="M467" i="5" a="1"/>
  <c r="M467" i="5" s="1"/>
  <c r="L467" i="5" a="1"/>
  <c r="L467" i="5" s="1"/>
  <c r="K467" i="5" a="1"/>
  <c r="K467" i="5" s="1"/>
  <c r="J467" i="5" a="1"/>
  <c r="J467" i="5" s="1"/>
  <c r="I467" i="5" a="1"/>
  <c r="I467" i="5" s="1"/>
  <c r="H467" i="5"/>
  <c r="M466" i="5" a="1"/>
  <c r="M466" i="5" s="1"/>
  <c r="L466" i="5" a="1"/>
  <c r="L466" i="5" s="1"/>
  <c r="K466" i="5" a="1"/>
  <c r="K466" i="5" s="1"/>
  <c r="J466" i="5" a="1"/>
  <c r="J466" i="5" s="1"/>
  <c r="I466" i="5" a="1"/>
  <c r="I466" i="5" s="1"/>
  <c r="H466" i="5"/>
  <c r="M465" i="5" a="1"/>
  <c r="M465" i="5" s="1"/>
  <c r="L465" i="5" a="1"/>
  <c r="L465" i="5"/>
  <c r="K465" i="5" a="1"/>
  <c r="K465" i="5" s="1"/>
  <c r="J465" i="5" a="1"/>
  <c r="J465" i="5" s="1"/>
  <c r="I465" i="5" a="1"/>
  <c r="I465" i="5" s="1"/>
  <c r="H465" i="5"/>
  <c r="M464" i="5" a="1"/>
  <c r="M464" i="5" s="1"/>
  <c r="L464" i="5" a="1"/>
  <c r="L464" i="5" s="1"/>
  <c r="K464" i="5" a="1"/>
  <c r="K464" i="5" s="1"/>
  <c r="J464" i="5" a="1"/>
  <c r="J464" i="5" s="1"/>
  <c r="I464" i="5" a="1"/>
  <c r="I464" i="5" s="1"/>
  <c r="H464" i="5"/>
  <c r="M463" i="5" a="1"/>
  <c r="M463" i="5" s="1"/>
  <c r="L463" i="5" a="1"/>
  <c r="L463" i="5"/>
  <c r="K463" i="5" a="1"/>
  <c r="K463" i="5" s="1"/>
  <c r="J463" i="5" a="1"/>
  <c r="J463" i="5" s="1"/>
  <c r="I463" i="5" a="1"/>
  <c r="I463" i="5" s="1"/>
  <c r="H463" i="5"/>
  <c r="M462" i="5" a="1"/>
  <c r="M462" i="5" s="1"/>
  <c r="L462" i="5" a="1"/>
  <c r="L462" i="5" s="1"/>
  <c r="K462" i="5" a="1"/>
  <c r="K462" i="5"/>
  <c r="J462" i="5" a="1"/>
  <c r="J462" i="5" s="1"/>
  <c r="I462" i="5" a="1"/>
  <c r="I462" i="5" s="1"/>
  <c r="H462" i="5"/>
  <c r="M461" i="5" a="1"/>
  <c r="M461" i="5" s="1"/>
  <c r="L461" i="5" a="1"/>
  <c r="L461" i="5" s="1"/>
  <c r="K461" i="5" a="1"/>
  <c r="K461" i="5" s="1"/>
  <c r="J461" i="5" a="1"/>
  <c r="J461" i="5" s="1"/>
  <c r="I461" i="5" a="1"/>
  <c r="I461" i="5" s="1"/>
  <c r="H461" i="5"/>
  <c r="M460" i="5" a="1"/>
  <c r="M460" i="5" s="1"/>
  <c r="L460" i="5" a="1"/>
  <c r="L460" i="5" s="1"/>
  <c r="K460" i="5" a="1"/>
  <c r="K460" i="5"/>
  <c r="J460" i="5" a="1"/>
  <c r="J460" i="5" s="1"/>
  <c r="I460" i="5" a="1"/>
  <c r="I460" i="5" s="1"/>
  <c r="H460" i="5"/>
  <c r="M459" i="5" a="1"/>
  <c r="M459" i="5" s="1"/>
  <c r="L459" i="5" a="1"/>
  <c r="L459" i="5" s="1"/>
  <c r="K459" i="5" a="1"/>
  <c r="K459" i="5" s="1"/>
  <c r="J459" i="5" a="1"/>
  <c r="J459" i="5" s="1"/>
  <c r="I459" i="5" a="1"/>
  <c r="I459" i="5" s="1"/>
  <c r="H459" i="5"/>
  <c r="M458" i="5" a="1"/>
  <c r="M458" i="5" s="1"/>
  <c r="L458" i="5" a="1"/>
  <c r="L458" i="5" s="1"/>
  <c r="K458" i="5" a="1"/>
  <c r="K458" i="5" s="1"/>
  <c r="J458" i="5" a="1"/>
  <c r="J458" i="5" s="1"/>
  <c r="I458" i="5" a="1"/>
  <c r="I458" i="5" s="1"/>
  <c r="H458" i="5"/>
  <c r="M457" i="5" a="1"/>
  <c r="M457" i="5" s="1"/>
  <c r="L457" i="5" a="1"/>
  <c r="L457" i="5" s="1"/>
  <c r="K457" i="5" a="1"/>
  <c r="K457" i="5" s="1"/>
  <c r="J457" i="5" a="1"/>
  <c r="J457" i="5" s="1"/>
  <c r="I457" i="5" a="1"/>
  <c r="I457" i="5" s="1"/>
  <c r="H457" i="5"/>
  <c r="M456" i="5" a="1"/>
  <c r="M456" i="5" s="1"/>
  <c r="L456" i="5" a="1"/>
  <c r="L456" i="5" s="1"/>
  <c r="K456" i="5" a="1"/>
  <c r="K456" i="5" s="1"/>
  <c r="J456" i="5" a="1"/>
  <c r="J456" i="5" s="1"/>
  <c r="I456" i="5" a="1"/>
  <c r="I456" i="5" s="1"/>
  <c r="H456" i="5"/>
  <c r="M455" i="5" a="1"/>
  <c r="M455" i="5" s="1"/>
  <c r="L455" i="5" a="1"/>
  <c r="L455" i="5" s="1"/>
  <c r="K455" i="5" a="1"/>
  <c r="K455" i="5" s="1"/>
  <c r="J455" i="5" a="1"/>
  <c r="J455" i="5" s="1"/>
  <c r="I455" i="5" a="1"/>
  <c r="I455" i="5" s="1"/>
  <c r="H455" i="5"/>
  <c r="M454" i="5" a="1"/>
  <c r="M454" i="5" s="1"/>
  <c r="L454" i="5" a="1"/>
  <c r="L454" i="5" s="1"/>
  <c r="K454" i="5" a="1"/>
  <c r="K454" i="5" s="1"/>
  <c r="J454" i="5" a="1"/>
  <c r="J454" i="5" s="1"/>
  <c r="I454" i="5" a="1"/>
  <c r="I454" i="5" s="1"/>
  <c r="H454" i="5"/>
  <c r="M453" i="5" a="1"/>
  <c r="M453" i="5" s="1"/>
  <c r="L453" i="5" a="1"/>
  <c r="L453" i="5" s="1"/>
  <c r="K453" i="5" a="1"/>
  <c r="K453" i="5" s="1"/>
  <c r="J453" i="5" a="1"/>
  <c r="J453" i="5" s="1"/>
  <c r="I453" i="5" a="1"/>
  <c r="I453" i="5" s="1"/>
  <c r="H453" i="5"/>
  <c r="M452" i="5" a="1"/>
  <c r="M452" i="5" s="1"/>
  <c r="L452" i="5" a="1"/>
  <c r="L452" i="5" s="1"/>
  <c r="K452" i="5" a="1"/>
  <c r="K452" i="5" s="1"/>
  <c r="J452" i="5" a="1"/>
  <c r="J452" i="5" s="1"/>
  <c r="I452" i="5" a="1"/>
  <c r="I452" i="5" s="1"/>
  <c r="H452" i="5"/>
  <c r="M451" i="5" a="1"/>
  <c r="M451" i="5" s="1"/>
  <c r="L451" i="5" a="1"/>
  <c r="L451" i="5" s="1"/>
  <c r="K451" i="5" a="1"/>
  <c r="K451" i="5" s="1"/>
  <c r="J451" i="5" a="1"/>
  <c r="J451" i="5" s="1"/>
  <c r="I451" i="5" a="1"/>
  <c r="I451" i="5" s="1"/>
  <c r="H451" i="5"/>
  <c r="M450" i="5" a="1"/>
  <c r="M450" i="5" s="1"/>
  <c r="L450" i="5" a="1"/>
  <c r="L450" i="5"/>
  <c r="K450" i="5" a="1"/>
  <c r="K450" i="5" s="1"/>
  <c r="J450" i="5" a="1"/>
  <c r="J450" i="5" s="1"/>
  <c r="I450" i="5" a="1"/>
  <c r="I450" i="5" s="1"/>
  <c r="H450" i="5"/>
  <c r="M449" i="5" a="1"/>
  <c r="M449" i="5" s="1"/>
  <c r="L449" i="5" a="1"/>
  <c r="L449" i="5" s="1"/>
  <c r="K449" i="5" a="1"/>
  <c r="K449" i="5" s="1"/>
  <c r="J449" i="5" a="1"/>
  <c r="J449" i="5" s="1"/>
  <c r="I449" i="5" a="1"/>
  <c r="I449" i="5" s="1"/>
  <c r="H449" i="5"/>
  <c r="M448" i="5" a="1"/>
  <c r="M448" i="5" s="1"/>
  <c r="L448" i="5" a="1"/>
  <c r="L448" i="5" s="1"/>
  <c r="K448" i="5" a="1"/>
  <c r="K448" i="5" s="1"/>
  <c r="J448" i="5" a="1"/>
  <c r="J448" i="5" s="1"/>
  <c r="I448" i="5" a="1"/>
  <c r="I448" i="5" s="1"/>
  <c r="H448" i="5"/>
  <c r="M447" i="5" a="1"/>
  <c r="M447" i="5" s="1"/>
  <c r="L447" i="5" a="1"/>
  <c r="L447" i="5" s="1"/>
  <c r="K447" i="5" a="1"/>
  <c r="K447" i="5" s="1"/>
  <c r="J447" i="5" a="1"/>
  <c r="J447" i="5" s="1"/>
  <c r="I447" i="5" a="1"/>
  <c r="I447" i="5" s="1"/>
  <c r="H447" i="5"/>
  <c r="M446" i="5" a="1"/>
  <c r="M446" i="5" s="1"/>
  <c r="L446" i="5" a="1"/>
  <c r="L446" i="5" s="1"/>
  <c r="K446" i="5" a="1"/>
  <c r="K446" i="5" s="1"/>
  <c r="J446" i="5" a="1"/>
  <c r="J446" i="5" s="1"/>
  <c r="I446" i="5" a="1"/>
  <c r="I446" i="5" s="1"/>
  <c r="H446" i="5"/>
  <c r="M445" i="5" a="1"/>
  <c r="M445" i="5" s="1"/>
  <c r="L445" i="5" a="1"/>
  <c r="L445" i="5" s="1"/>
  <c r="K445" i="5" a="1"/>
  <c r="K445" i="5" s="1"/>
  <c r="J445" i="5" a="1"/>
  <c r="J445" i="5" s="1"/>
  <c r="I445" i="5" a="1"/>
  <c r="I445" i="5" s="1"/>
  <c r="H445" i="5"/>
  <c r="M444" i="5" a="1"/>
  <c r="M444" i="5" s="1"/>
  <c r="L444" i="5" a="1"/>
  <c r="L444" i="5" s="1"/>
  <c r="K444" i="5" a="1"/>
  <c r="K444" i="5" s="1"/>
  <c r="J444" i="5" a="1"/>
  <c r="J444" i="5" s="1"/>
  <c r="I444" i="5" a="1"/>
  <c r="I444" i="5" s="1"/>
  <c r="H444" i="5"/>
  <c r="M443" i="5" a="1"/>
  <c r="M443" i="5" s="1"/>
  <c r="L443" i="5" a="1"/>
  <c r="L443" i="5" s="1"/>
  <c r="K443" i="5" a="1"/>
  <c r="K443" i="5" s="1"/>
  <c r="J443" i="5" a="1"/>
  <c r="J443" i="5" s="1"/>
  <c r="I443" i="5" a="1"/>
  <c r="I443" i="5"/>
  <c r="H443" i="5"/>
  <c r="M442" i="5" a="1"/>
  <c r="M442" i="5" s="1"/>
  <c r="L442" i="5" a="1"/>
  <c r="L442" i="5" s="1"/>
  <c r="K442" i="5" a="1"/>
  <c r="K442" i="5" s="1"/>
  <c r="J442" i="5" a="1"/>
  <c r="J442" i="5" s="1"/>
  <c r="I442" i="5" a="1"/>
  <c r="I442" i="5" s="1"/>
  <c r="H442" i="5"/>
  <c r="M441" i="5" a="1"/>
  <c r="M441" i="5" s="1"/>
  <c r="L441" i="5" a="1"/>
  <c r="L441" i="5" s="1"/>
  <c r="K441" i="5" a="1"/>
  <c r="K441" i="5" s="1"/>
  <c r="J441" i="5" a="1"/>
  <c r="J441" i="5" s="1"/>
  <c r="I441" i="5" a="1"/>
  <c r="I441" i="5"/>
  <c r="H441" i="5"/>
  <c r="M440" i="5" a="1"/>
  <c r="M440" i="5" s="1"/>
  <c r="L440" i="5" a="1"/>
  <c r="L440" i="5" s="1"/>
  <c r="K440" i="5" a="1"/>
  <c r="K440" i="5" s="1"/>
  <c r="J440" i="5" a="1"/>
  <c r="J440" i="5" s="1"/>
  <c r="I440" i="5" a="1"/>
  <c r="I440" i="5" s="1"/>
  <c r="H440" i="5"/>
  <c r="M439" i="5" a="1"/>
  <c r="M439" i="5" s="1"/>
  <c r="L439" i="5" a="1"/>
  <c r="L439" i="5" s="1"/>
  <c r="K439" i="5" a="1"/>
  <c r="K439" i="5"/>
  <c r="J439" i="5" a="1"/>
  <c r="J439" i="5" s="1"/>
  <c r="I439" i="5" a="1"/>
  <c r="I439" i="5" s="1"/>
  <c r="H439" i="5"/>
  <c r="M438" i="5" a="1"/>
  <c r="M438" i="5" s="1"/>
  <c r="L438" i="5" a="1"/>
  <c r="L438" i="5" s="1"/>
  <c r="K438" i="5" a="1"/>
  <c r="K438" i="5" s="1"/>
  <c r="J438" i="5" a="1"/>
  <c r="J438" i="5" s="1"/>
  <c r="I438" i="5" a="1"/>
  <c r="I438" i="5" s="1"/>
  <c r="H438" i="5"/>
  <c r="M437" i="5" a="1"/>
  <c r="M437" i="5" s="1"/>
  <c r="L437" i="5" a="1"/>
  <c r="L437" i="5" s="1"/>
  <c r="K437" i="5" a="1"/>
  <c r="K437" i="5" s="1"/>
  <c r="J437" i="5" a="1"/>
  <c r="J437" i="5" s="1"/>
  <c r="I437" i="5" a="1"/>
  <c r="I437" i="5" s="1"/>
  <c r="H437" i="5"/>
  <c r="M436" i="5" a="1"/>
  <c r="M436" i="5" s="1"/>
  <c r="L436" i="5" a="1"/>
  <c r="L436" i="5" s="1"/>
  <c r="K436" i="5" a="1"/>
  <c r="K436" i="5" s="1"/>
  <c r="J436" i="5" a="1"/>
  <c r="J436" i="5" s="1"/>
  <c r="I436" i="5" a="1"/>
  <c r="I436" i="5" s="1"/>
  <c r="H436" i="5"/>
  <c r="M435" i="5" a="1"/>
  <c r="M435" i="5" s="1"/>
  <c r="L435" i="5" a="1"/>
  <c r="L435" i="5" s="1"/>
  <c r="K435" i="5" a="1"/>
  <c r="K435" i="5" s="1"/>
  <c r="J435" i="5" a="1"/>
  <c r="J435" i="5"/>
  <c r="I435" i="5" a="1"/>
  <c r="I435" i="5" s="1"/>
  <c r="H435" i="5"/>
  <c r="M434" i="5" a="1"/>
  <c r="M434" i="5" s="1"/>
  <c r="L434" i="5" a="1"/>
  <c r="L434" i="5" s="1"/>
  <c r="K434" i="5" a="1"/>
  <c r="K434" i="5" s="1"/>
  <c r="J434" i="5" a="1"/>
  <c r="J434" i="5" s="1"/>
  <c r="I434" i="5" a="1"/>
  <c r="I434" i="5" s="1"/>
  <c r="H434" i="5"/>
  <c r="M433" i="5" a="1"/>
  <c r="M433" i="5" s="1"/>
  <c r="L433" i="5" a="1"/>
  <c r="L433" i="5" s="1"/>
  <c r="K433" i="5" a="1"/>
  <c r="K433" i="5" s="1"/>
  <c r="J433" i="5" a="1"/>
  <c r="J433" i="5" s="1"/>
  <c r="I433" i="5" a="1"/>
  <c r="I433" i="5" s="1"/>
  <c r="H433" i="5"/>
  <c r="M432" i="5" a="1"/>
  <c r="M432" i="5" s="1"/>
  <c r="L432" i="5" a="1"/>
  <c r="L432" i="5" s="1"/>
  <c r="K432" i="5" a="1"/>
  <c r="K432" i="5" s="1"/>
  <c r="J432" i="5" a="1"/>
  <c r="J432" i="5" s="1"/>
  <c r="I432" i="5" a="1"/>
  <c r="I432" i="5" s="1"/>
  <c r="H432" i="5"/>
  <c r="M431" i="5" a="1"/>
  <c r="M431" i="5" s="1"/>
  <c r="L431" i="5" a="1"/>
  <c r="L431" i="5" s="1"/>
  <c r="K431" i="5" a="1"/>
  <c r="K431" i="5" s="1"/>
  <c r="J431" i="5" a="1"/>
  <c r="J431" i="5" s="1"/>
  <c r="I431" i="5" a="1"/>
  <c r="I431" i="5" s="1"/>
  <c r="H431" i="5"/>
  <c r="M430" i="5" a="1"/>
  <c r="M430" i="5" s="1"/>
  <c r="L430" i="5" a="1"/>
  <c r="L430" i="5" s="1"/>
  <c r="K430" i="5" a="1"/>
  <c r="K430" i="5" s="1"/>
  <c r="J430" i="5" a="1"/>
  <c r="J430" i="5" s="1"/>
  <c r="I430" i="5" a="1"/>
  <c r="I430" i="5" s="1"/>
  <c r="H430" i="5"/>
  <c r="M429" i="5" a="1"/>
  <c r="M429" i="5" s="1"/>
  <c r="L429" i="5" a="1"/>
  <c r="L429" i="5" s="1"/>
  <c r="K429" i="5" a="1"/>
  <c r="K429" i="5" s="1"/>
  <c r="J429" i="5" a="1"/>
  <c r="J429" i="5" s="1"/>
  <c r="I429" i="5" a="1"/>
  <c r="I429" i="5" s="1"/>
  <c r="H429" i="5"/>
  <c r="M428" i="5" a="1"/>
  <c r="M428" i="5" s="1"/>
  <c r="L428" i="5" a="1"/>
  <c r="L428" i="5" s="1"/>
  <c r="K428" i="5" a="1"/>
  <c r="K428" i="5" s="1"/>
  <c r="J428" i="5" a="1"/>
  <c r="J428" i="5"/>
  <c r="I428" i="5" a="1"/>
  <c r="I428" i="5" s="1"/>
  <c r="H428" i="5"/>
  <c r="M427" i="5" a="1"/>
  <c r="M427" i="5" s="1"/>
  <c r="L427" i="5" a="1"/>
  <c r="L427" i="5" s="1"/>
  <c r="K427" i="5" a="1"/>
  <c r="K427" i="5" s="1"/>
  <c r="J427" i="5" a="1"/>
  <c r="J427" i="5" s="1"/>
  <c r="I427" i="5" a="1"/>
  <c r="I427" i="5" s="1"/>
  <c r="H427" i="5"/>
  <c r="M426" i="5" a="1"/>
  <c r="M426" i="5" s="1"/>
  <c r="L426" i="5" a="1"/>
  <c r="L426" i="5" s="1"/>
  <c r="K426" i="5" a="1"/>
  <c r="K426" i="5" s="1"/>
  <c r="J426" i="5" a="1"/>
  <c r="J426" i="5" s="1"/>
  <c r="I426" i="5" a="1"/>
  <c r="I426" i="5" s="1"/>
  <c r="H426" i="5"/>
  <c r="M425" i="5" a="1"/>
  <c r="M425" i="5" s="1"/>
  <c r="L425" i="5" a="1"/>
  <c r="L425" i="5" s="1"/>
  <c r="K425" i="5" a="1"/>
  <c r="K425" i="5" s="1"/>
  <c r="J425" i="5" a="1"/>
  <c r="J425" i="5" s="1"/>
  <c r="I425" i="5" a="1"/>
  <c r="I425" i="5" s="1"/>
  <c r="H425" i="5"/>
  <c r="M424" i="5" a="1"/>
  <c r="M424" i="5" s="1"/>
  <c r="L424" i="5" a="1"/>
  <c r="L424" i="5" s="1"/>
  <c r="K424" i="5" a="1"/>
  <c r="K424" i="5" s="1"/>
  <c r="J424" i="5" a="1"/>
  <c r="J424" i="5" s="1"/>
  <c r="I424" i="5" a="1"/>
  <c r="I424" i="5" s="1"/>
  <c r="H424" i="5"/>
  <c r="M423" i="5" a="1"/>
  <c r="M423" i="5" s="1"/>
  <c r="L423" i="5" a="1"/>
  <c r="L423" i="5" s="1"/>
  <c r="K423" i="5" a="1"/>
  <c r="K423" i="5" s="1"/>
  <c r="J423" i="5" a="1"/>
  <c r="J423" i="5" s="1"/>
  <c r="I423" i="5" a="1"/>
  <c r="I423" i="5" s="1"/>
  <c r="H423" i="5"/>
  <c r="M422" i="5" a="1"/>
  <c r="M422" i="5" s="1"/>
  <c r="L422" i="5" a="1"/>
  <c r="L422" i="5" s="1"/>
  <c r="K422" i="5" a="1"/>
  <c r="K422" i="5" s="1"/>
  <c r="J422" i="5" a="1"/>
  <c r="J422" i="5" s="1"/>
  <c r="I422" i="5" a="1"/>
  <c r="I422" i="5" s="1"/>
  <c r="H422" i="5"/>
  <c r="M421" i="5" a="1"/>
  <c r="M421" i="5" s="1"/>
  <c r="L421" i="5" a="1"/>
  <c r="L421" i="5" s="1"/>
  <c r="K421" i="5" a="1"/>
  <c r="K421" i="5" s="1"/>
  <c r="J421" i="5" a="1"/>
  <c r="J421" i="5" s="1"/>
  <c r="I421" i="5" a="1"/>
  <c r="I421" i="5" s="1"/>
  <c r="H421" i="5"/>
  <c r="M420" i="5" a="1"/>
  <c r="M420" i="5" s="1"/>
  <c r="L420" i="5" a="1"/>
  <c r="L420" i="5" s="1"/>
  <c r="K420" i="5" a="1"/>
  <c r="K420" i="5" s="1"/>
  <c r="J420" i="5" a="1"/>
  <c r="J420" i="5" s="1"/>
  <c r="I420" i="5" a="1"/>
  <c r="I420" i="5" s="1"/>
  <c r="H420" i="5"/>
  <c r="M419" i="5" a="1"/>
  <c r="M419" i="5" s="1"/>
  <c r="L419" i="5" a="1"/>
  <c r="L419" i="5" s="1"/>
  <c r="K419" i="5" a="1"/>
  <c r="K419" i="5" s="1"/>
  <c r="J419" i="5" a="1"/>
  <c r="J419" i="5" s="1"/>
  <c r="I419" i="5" a="1"/>
  <c r="I419" i="5" s="1"/>
  <c r="H419" i="5"/>
  <c r="M418" i="5" a="1"/>
  <c r="M418" i="5" s="1"/>
  <c r="L418" i="5" a="1"/>
  <c r="L418" i="5" s="1"/>
  <c r="K418" i="5" a="1"/>
  <c r="K418" i="5" s="1"/>
  <c r="J418" i="5" a="1"/>
  <c r="J418" i="5"/>
  <c r="I418" i="5" a="1"/>
  <c r="I418" i="5" s="1"/>
  <c r="H418" i="5"/>
  <c r="M417" i="5" a="1"/>
  <c r="M417" i="5" s="1"/>
  <c r="L417" i="5" a="1"/>
  <c r="L417" i="5"/>
  <c r="K417" i="5" a="1"/>
  <c r="K417" i="5" s="1"/>
  <c r="J417" i="5" a="1"/>
  <c r="J417" i="5" s="1"/>
  <c r="I417" i="5" a="1"/>
  <c r="I417" i="5"/>
  <c r="H417" i="5"/>
  <c r="M416" i="5" a="1"/>
  <c r="M416" i="5"/>
  <c r="L416" i="5" a="1"/>
  <c r="L416" i="5" s="1"/>
  <c r="K416" i="5" a="1"/>
  <c r="K416" i="5" s="1"/>
  <c r="J416" i="5" a="1"/>
  <c r="J416" i="5" s="1"/>
  <c r="I416" i="5" a="1"/>
  <c r="I416" i="5" s="1"/>
  <c r="H416" i="5"/>
  <c r="M415" i="5" a="1"/>
  <c r="M415" i="5" s="1"/>
  <c r="L415" i="5" a="1"/>
  <c r="L415" i="5" s="1"/>
  <c r="K415" i="5" a="1"/>
  <c r="K415" i="5" s="1"/>
  <c r="J415" i="5" a="1"/>
  <c r="J415" i="5" s="1"/>
  <c r="I415" i="5" a="1"/>
  <c r="I415" i="5" s="1"/>
  <c r="H415" i="5"/>
  <c r="M414" i="5" a="1"/>
  <c r="M414" i="5" s="1"/>
  <c r="L414" i="5" a="1"/>
  <c r="L414" i="5" s="1"/>
  <c r="K414" i="5" a="1"/>
  <c r="K414" i="5" s="1"/>
  <c r="J414" i="5" a="1"/>
  <c r="J414" i="5" s="1"/>
  <c r="I414" i="5" a="1"/>
  <c r="I414" i="5" s="1"/>
  <c r="H414" i="5"/>
  <c r="M413" i="5" a="1"/>
  <c r="M413" i="5" s="1"/>
  <c r="L413" i="5" a="1"/>
  <c r="L413" i="5"/>
  <c r="K413" i="5" a="1"/>
  <c r="K413" i="5" s="1"/>
  <c r="J413" i="5" a="1"/>
  <c r="J413" i="5" s="1"/>
  <c r="I413" i="5" a="1"/>
  <c r="I413" i="5" s="1"/>
  <c r="H413" i="5"/>
  <c r="M412" i="5" a="1"/>
  <c r="M412" i="5" s="1"/>
  <c r="L412" i="5" a="1"/>
  <c r="L412" i="5" s="1"/>
  <c r="K412" i="5" a="1"/>
  <c r="K412" i="5" s="1"/>
  <c r="J412" i="5" a="1"/>
  <c r="J412" i="5"/>
  <c r="I412" i="5" a="1"/>
  <c r="I412" i="5" s="1"/>
  <c r="H412" i="5"/>
  <c r="M411" i="5" a="1"/>
  <c r="M411" i="5"/>
  <c r="L411" i="5" a="1"/>
  <c r="L411" i="5" s="1"/>
  <c r="K411" i="5" a="1"/>
  <c r="K411" i="5" s="1"/>
  <c r="J411" i="5" a="1"/>
  <c r="J411" i="5" s="1"/>
  <c r="I411" i="5" a="1"/>
  <c r="I411" i="5" s="1"/>
  <c r="H411" i="5"/>
  <c r="M410" i="5" a="1"/>
  <c r="M410" i="5" s="1"/>
  <c r="L410" i="5" a="1"/>
  <c r="L410" i="5" s="1"/>
  <c r="K410" i="5" a="1"/>
  <c r="K410" i="5" s="1"/>
  <c r="J410" i="5" a="1"/>
  <c r="J410" i="5" s="1"/>
  <c r="I410" i="5" a="1"/>
  <c r="I410" i="5" s="1"/>
  <c r="H410" i="5"/>
  <c r="M409" i="5" a="1"/>
  <c r="M409" i="5" s="1"/>
  <c r="L409" i="5" a="1"/>
  <c r="L409" i="5" s="1"/>
  <c r="K409" i="5" a="1"/>
  <c r="K409" i="5" s="1"/>
  <c r="J409" i="5" a="1"/>
  <c r="J409" i="5" s="1"/>
  <c r="I409" i="5" a="1"/>
  <c r="I409" i="5" s="1"/>
  <c r="H409" i="5"/>
  <c r="M408" i="5" a="1"/>
  <c r="M408" i="5" s="1"/>
  <c r="L408" i="5" a="1"/>
  <c r="L408" i="5" s="1"/>
  <c r="K408" i="5" a="1"/>
  <c r="K408" i="5" s="1"/>
  <c r="J408" i="5" a="1"/>
  <c r="J408" i="5" s="1"/>
  <c r="I408" i="5" a="1"/>
  <c r="I408" i="5" s="1"/>
  <c r="H408" i="5"/>
  <c r="M407" i="5" a="1"/>
  <c r="M407" i="5" s="1"/>
  <c r="L407" i="5" a="1"/>
  <c r="L407" i="5" s="1"/>
  <c r="K407" i="5" a="1"/>
  <c r="K407" i="5"/>
  <c r="J407" i="5" a="1"/>
  <c r="J407" i="5" s="1"/>
  <c r="I407" i="5" a="1"/>
  <c r="I407" i="5" s="1"/>
  <c r="H407" i="5"/>
  <c r="M406" i="5" a="1"/>
  <c r="M406" i="5" s="1"/>
  <c r="L406" i="5" a="1"/>
  <c r="L406" i="5" s="1"/>
  <c r="K406" i="5" a="1"/>
  <c r="K406" i="5" s="1"/>
  <c r="J406" i="5" a="1"/>
  <c r="J406" i="5" s="1"/>
  <c r="I406" i="5" a="1"/>
  <c r="I406" i="5" s="1"/>
  <c r="H406" i="5"/>
  <c r="M405" i="5" a="1"/>
  <c r="M405" i="5" s="1"/>
  <c r="L405" i="5" a="1"/>
  <c r="L405" i="5" s="1"/>
  <c r="K405" i="5" a="1"/>
  <c r="K405" i="5" s="1"/>
  <c r="J405" i="5" a="1"/>
  <c r="J405" i="5" s="1"/>
  <c r="I405" i="5" a="1"/>
  <c r="I405" i="5" s="1"/>
  <c r="H405" i="5"/>
  <c r="M404" i="5" a="1"/>
  <c r="M404" i="5" s="1"/>
  <c r="L404" i="5" a="1"/>
  <c r="L404" i="5" s="1"/>
  <c r="K404" i="5" a="1"/>
  <c r="K404" i="5" s="1"/>
  <c r="J404" i="5" a="1"/>
  <c r="J404" i="5"/>
  <c r="I404" i="5" a="1"/>
  <c r="I404" i="5" s="1"/>
  <c r="H404" i="5"/>
  <c r="M403" i="5" a="1"/>
  <c r="M403" i="5" s="1"/>
  <c r="L403" i="5" a="1"/>
  <c r="L403" i="5" s="1"/>
  <c r="K403" i="5" a="1"/>
  <c r="K403" i="5" s="1"/>
  <c r="J403" i="5" a="1"/>
  <c r="J403" i="5" s="1"/>
  <c r="I403" i="5" a="1"/>
  <c r="I403" i="5" s="1"/>
  <c r="H403" i="5"/>
  <c r="M402" i="5" a="1"/>
  <c r="M402" i="5"/>
  <c r="L402" i="5" a="1"/>
  <c r="L402" i="5" s="1"/>
  <c r="K402" i="5" a="1"/>
  <c r="K402" i="5" s="1"/>
  <c r="J402" i="5" a="1"/>
  <c r="J402" i="5" s="1"/>
  <c r="I402" i="5" a="1"/>
  <c r="I402" i="5" s="1"/>
  <c r="H402" i="5"/>
  <c r="M401" i="5" a="1"/>
  <c r="M401" i="5" s="1"/>
  <c r="L401" i="5" a="1"/>
  <c r="L401" i="5" s="1"/>
  <c r="K401" i="5" a="1"/>
  <c r="K401" i="5" s="1"/>
  <c r="J401" i="5" a="1"/>
  <c r="J401" i="5" s="1"/>
  <c r="I401" i="5" a="1"/>
  <c r="I401" i="5" s="1"/>
  <c r="H401" i="5"/>
  <c r="M400" i="5" a="1"/>
  <c r="M400" i="5" s="1"/>
  <c r="L400" i="5" a="1"/>
  <c r="L400" i="5" s="1"/>
  <c r="K400" i="5" a="1"/>
  <c r="K400" i="5" s="1"/>
  <c r="J400" i="5" a="1"/>
  <c r="J400" i="5" s="1"/>
  <c r="I400" i="5" a="1"/>
  <c r="I400" i="5" s="1"/>
  <c r="H400" i="5"/>
  <c r="M399" i="5" a="1"/>
  <c r="M399" i="5" s="1"/>
  <c r="L399" i="5" a="1"/>
  <c r="L399" i="5" s="1"/>
  <c r="K399" i="5" a="1"/>
  <c r="K399" i="5" s="1"/>
  <c r="J399" i="5" a="1"/>
  <c r="J399" i="5" s="1"/>
  <c r="I399" i="5" a="1"/>
  <c r="I399" i="5"/>
  <c r="H399" i="5"/>
  <c r="M398" i="5" a="1"/>
  <c r="M398" i="5" s="1"/>
  <c r="L398" i="5" a="1"/>
  <c r="L398" i="5" s="1"/>
  <c r="K398" i="5" a="1"/>
  <c r="K398" i="5" s="1"/>
  <c r="J398" i="5" a="1"/>
  <c r="J398" i="5" s="1"/>
  <c r="I398" i="5" a="1"/>
  <c r="I398" i="5" s="1"/>
  <c r="H398" i="5"/>
  <c r="M397" i="5" a="1"/>
  <c r="M397" i="5" s="1"/>
  <c r="L397" i="5" a="1"/>
  <c r="L397" i="5" s="1"/>
  <c r="K397" i="5" a="1"/>
  <c r="K397" i="5"/>
  <c r="J397" i="5" a="1"/>
  <c r="J397" i="5" s="1"/>
  <c r="I397" i="5" a="1"/>
  <c r="I397" i="5" s="1"/>
  <c r="H397" i="5"/>
  <c r="M396" i="5" a="1"/>
  <c r="M396" i="5" s="1"/>
  <c r="L396" i="5" a="1"/>
  <c r="L396" i="5" s="1"/>
  <c r="K396" i="5" a="1"/>
  <c r="K396" i="5" s="1"/>
  <c r="J396" i="5" a="1"/>
  <c r="J396" i="5" s="1"/>
  <c r="I396" i="5" a="1"/>
  <c r="I396" i="5" s="1"/>
  <c r="H396" i="5"/>
  <c r="M395" i="5" a="1"/>
  <c r="M395" i="5" s="1"/>
  <c r="L395" i="5" a="1"/>
  <c r="L395" i="5" s="1"/>
  <c r="K395" i="5" a="1"/>
  <c r="K395" i="5" s="1"/>
  <c r="J395" i="5" a="1"/>
  <c r="J395" i="5" s="1"/>
  <c r="I395" i="5" a="1"/>
  <c r="I395" i="5" s="1"/>
  <c r="H395" i="5"/>
  <c r="M394" i="5" a="1"/>
  <c r="M394" i="5" s="1"/>
  <c r="L394" i="5" a="1"/>
  <c r="L394" i="5" s="1"/>
  <c r="K394" i="5" a="1"/>
  <c r="K394" i="5" s="1"/>
  <c r="J394" i="5" a="1"/>
  <c r="J394" i="5" s="1"/>
  <c r="I394" i="5" a="1"/>
  <c r="I394" i="5" s="1"/>
  <c r="H394" i="5"/>
  <c r="M393" i="5" a="1"/>
  <c r="M393" i="5" s="1"/>
  <c r="L393" i="5" a="1"/>
  <c r="L393" i="5" s="1"/>
  <c r="K393" i="5" a="1"/>
  <c r="K393" i="5" s="1"/>
  <c r="J393" i="5" a="1"/>
  <c r="J393" i="5" s="1"/>
  <c r="I393" i="5" a="1"/>
  <c r="I393" i="5" s="1"/>
  <c r="H393" i="5"/>
  <c r="M392" i="5" a="1"/>
  <c r="M392" i="5" s="1"/>
  <c r="L392" i="5" a="1"/>
  <c r="L392" i="5" s="1"/>
  <c r="K392" i="5" a="1"/>
  <c r="K392" i="5" s="1"/>
  <c r="J392" i="5" a="1"/>
  <c r="J392" i="5" s="1"/>
  <c r="I392" i="5" a="1"/>
  <c r="I392" i="5" s="1"/>
  <c r="H392" i="5"/>
  <c r="M391" i="5" a="1"/>
  <c r="M391" i="5" s="1"/>
  <c r="L391" i="5" a="1"/>
  <c r="L391" i="5" s="1"/>
  <c r="K391" i="5" a="1"/>
  <c r="K391" i="5" s="1"/>
  <c r="J391" i="5" a="1"/>
  <c r="J391" i="5"/>
  <c r="I391" i="5" a="1"/>
  <c r="I391" i="5" s="1"/>
  <c r="H391" i="5"/>
  <c r="M390" i="5" a="1"/>
  <c r="M390" i="5" s="1"/>
  <c r="L390" i="5" a="1"/>
  <c r="L390" i="5"/>
  <c r="K390" i="5" a="1"/>
  <c r="K390" i="5" s="1"/>
  <c r="J390" i="5" a="1"/>
  <c r="J390" i="5" s="1"/>
  <c r="I390" i="5" a="1"/>
  <c r="I390" i="5" s="1"/>
  <c r="H390" i="5"/>
  <c r="M389" i="5" a="1"/>
  <c r="M389" i="5" s="1"/>
  <c r="L389" i="5" a="1"/>
  <c r="L389" i="5" s="1"/>
  <c r="K389" i="5" a="1"/>
  <c r="K389" i="5" s="1"/>
  <c r="J389" i="5" a="1"/>
  <c r="J389" i="5" s="1"/>
  <c r="I389" i="5" a="1"/>
  <c r="I389" i="5" s="1"/>
  <c r="H389" i="5"/>
  <c r="M388" i="5" a="1"/>
  <c r="M388" i="5" s="1"/>
  <c r="L388" i="5" a="1"/>
  <c r="L388" i="5" s="1"/>
  <c r="K388" i="5" a="1"/>
  <c r="K388" i="5" s="1"/>
  <c r="J388" i="5" a="1"/>
  <c r="J388" i="5" s="1"/>
  <c r="I388" i="5" a="1"/>
  <c r="I388" i="5" s="1"/>
  <c r="H388" i="5"/>
  <c r="M387" i="5" a="1"/>
  <c r="M387" i="5" s="1"/>
  <c r="L387" i="5" a="1"/>
  <c r="L387" i="5" s="1"/>
  <c r="K387" i="5" a="1"/>
  <c r="K387" i="5" s="1"/>
  <c r="J387" i="5" a="1"/>
  <c r="J387" i="5" s="1"/>
  <c r="I387" i="5" a="1"/>
  <c r="I387" i="5" s="1"/>
  <c r="H387" i="5"/>
  <c r="M386" i="5" a="1"/>
  <c r="M386" i="5" s="1"/>
  <c r="L386" i="5" a="1"/>
  <c r="L386" i="5"/>
  <c r="K386" i="5" a="1"/>
  <c r="K386" i="5" s="1"/>
  <c r="J386" i="5" a="1"/>
  <c r="J386" i="5" s="1"/>
  <c r="I386" i="5" a="1"/>
  <c r="I386" i="5" s="1"/>
  <c r="H386" i="5"/>
  <c r="M385" i="5" a="1"/>
  <c r="M385" i="5" s="1"/>
  <c r="L385" i="5" a="1"/>
  <c r="L385" i="5"/>
  <c r="K385" i="5" a="1"/>
  <c r="K385" i="5" s="1"/>
  <c r="J385" i="5" a="1"/>
  <c r="J385" i="5" s="1"/>
  <c r="I385" i="5" a="1"/>
  <c r="I385" i="5"/>
  <c r="H385" i="5"/>
  <c r="M384" i="5" a="1"/>
  <c r="M384" i="5" s="1"/>
  <c r="L384" i="5" a="1"/>
  <c r="L384" i="5" s="1"/>
  <c r="K384" i="5" a="1"/>
  <c r="K384" i="5" s="1"/>
  <c r="J384" i="5" a="1"/>
  <c r="J384" i="5" s="1"/>
  <c r="I384" i="5" a="1"/>
  <c r="I384" i="5" s="1"/>
  <c r="H384" i="5"/>
  <c r="M383" i="5" a="1"/>
  <c r="M383" i="5" s="1"/>
  <c r="L383" i="5" a="1"/>
  <c r="L383" i="5" s="1"/>
  <c r="K383" i="5" a="1"/>
  <c r="K383" i="5" s="1"/>
  <c r="J383" i="5" a="1"/>
  <c r="J383" i="5" s="1"/>
  <c r="I383" i="5" a="1"/>
  <c r="I383" i="5" s="1"/>
  <c r="H383" i="5"/>
  <c r="M382" i="5" a="1"/>
  <c r="M382" i="5" s="1"/>
  <c r="L382" i="5" a="1"/>
  <c r="L382" i="5" s="1"/>
  <c r="K382" i="5" a="1"/>
  <c r="K382" i="5" s="1"/>
  <c r="J382" i="5" a="1"/>
  <c r="J382" i="5" s="1"/>
  <c r="I382" i="5" a="1"/>
  <c r="I382" i="5" s="1"/>
  <c r="H382" i="5"/>
  <c r="M381" i="5" a="1"/>
  <c r="M381" i="5" s="1"/>
  <c r="L381" i="5" a="1"/>
  <c r="L381" i="5" s="1"/>
  <c r="K381" i="5" a="1"/>
  <c r="K381" i="5" s="1"/>
  <c r="J381" i="5" a="1"/>
  <c r="J381" i="5" s="1"/>
  <c r="I381" i="5" a="1"/>
  <c r="I381" i="5" s="1"/>
  <c r="H381" i="5"/>
  <c r="M380" i="5" a="1"/>
  <c r="M380" i="5" s="1"/>
  <c r="L380" i="5" a="1"/>
  <c r="L380" i="5" s="1"/>
  <c r="K380" i="5" a="1"/>
  <c r="K380" i="5" s="1"/>
  <c r="J380" i="5" a="1"/>
  <c r="J380" i="5" s="1"/>
  <c r="I380" i="5" a="1"/>
  <c r="I380" i="5" s="1"/>
  <c r="H380" i="5"/>
  <c r="M379" i="5" a="1"/>
  <c r="M379" i="5" s="1"/>
  <c r="L379" i="5" a="1"/>
  <c r="L379" i="5" s="1"/>
  <c r="K379" i="5" a="1"/>
  <c r="K379" i="5" s="1"/>
  <c r="J379" i="5" a="1"/>
  <c r="J379" i="5" s="1"/>
  <c r="I379" i="5" a="1"/>
  <c r="I379" i="5" s="1"/>
  <c r="H379" i="5"/>
  <c r="M378" i="5" a="1"/>
  <c r="M378" i="5" s="1"/>
  <c r="L378" i="5" a="1"/>
  <c r="L378" i="5" s="1"/>
  <c r="K378" i="5" a="1"/>
  <c r="K378" i="5" s="1"/>
  <c r="J378" i="5" a="1"/>
  <c r="J378" i="5"/>
  <c r="I378" i="5" a="1"/>
  <c r="I378" i="5" s="1"/>
  <c r="H378" i="5"/>
  <c r="M377" i="5" a="1"/>
  <c r="M377" i="5"/>
  <c r="L377" i="5" a="1"/>
  <c r="L377" i="5" s="1"/>
  <c r="K377" i="5" a="1"/>
  <c r="K377" i="5" s="1"/>
  <c r="J377" i="5" a="1"/>
  <c r="J377" i="5" s="1"/>
  <c r="I377" i="5" a="1"/>
  <c r="I377" i="5" s="1"/>
  <c r="H377" i="5"/>
  <c r="M376" i="5" a="1"/>
  <c r="M376" i="5" s="1"/>
  <c r="L376" i="5" a="1"/>
  <c r="L376" i="5" s="1"/>
  <c r="K376" i="5" a="1"/>
  <c r="K376" i="5" s="1"/>
  <c r="J376" i="5" a="1"/>
  <c r="J376" i="5" s="1"/>
  <c r="I376" i="5" a="1"/>
  <c r="I376" i="5" s="1"/>
  <c r="H376" i="5"/>
  <c r="M375" i="5" a="1"/>
  <c r="M375" i="5" s="1"/>
  <c r="L375" i="5" a="1"/>
  <c r="L375" i="5" s="1"/>
  <c r="K375" i="5" a="1"/>
  <c r="K375" i="5" s="1"/>
  <c r="J375" i="5" a="1"/>
  <c r="J375" i="5" s="1"/>
  <c r="I375" i="5" a="1"/>
  <c r="I375" i="5"/>
  <c r="H375" i="5"/>
  <c r="M374" i="5" a="1"/>
  <c r="M374" i="5" s="1"/>
  <c r="L374" i="5" a="1"/>
  <c r="L374" i="5"/>
  <c r="K374" i="5" a="1"/>
  <c r="K374" i="5" s="1"/>
  <c r="J374" i="5" a="1"/>
  <c r="J374" i="5" s="1"/>
  <c r="I374" i="5" a="1"/>
  <c r="I374" i="5" s="1"/>
  <c r="H374" i="5"/>
  <c r="M373" i="5" a="1"/>
  <c r="M373" i="5" s="1"/>
  <c r="L373" i="5" a="1"/>
  <c r="L373" i="5" s="1"/>
  <c r="K373" i="5" a="1"/>
  <c r="K373" i="5" s="1"/>
  <c r="J373" i="5" a="1"/>
  <c r="J373" i="5" s="1"/>
  <c r="I373" i="5" a="1"/>
  <c r="I373" i="5"/>
  <c r="H373" i="5"/>
  <c r="M372" i="5" a="1"/>
  <c r="M372" i="5" s="1"/>
  <c r="L372" i="5" a="1"/>
  <c r="L372" i="5" s="1"/>
  <c r="K372" i="5" a="1"/>
  <c r="K372" i="5" s="1"/>
  <c r="J372" i="5" a="1"/>
  <c r="J372" i="5" s="1"/>
  <c r="I372" i="5" a="1"/>
  <c r="I372" i="5" s="1"/>
  <c r="H372" i="5"/>
  <c r="M371" i="5" a="1"/>
  <c r="M371" i="5" s="1"/>
  <c r="L371" i="5" a="1"/>
  <c r="L371" i="5" s="1"/>
  <c r="K371" i="5" a="1"/>
  <c r="K371" i="5" s="1"/>
  <c r="J371" i="5" a="1"/>
  <c r="J371" i="5" s="1"/>
  <c r="I371" i="5" a="1"/>
  <c r="I371" i="5" s="1"/>
  <c r="H371" i="5"/>
  <c r="M370" i="5" a="1"/>
  <c r="M370" i="5" s="1"/>
  <c r="L370" i="5" a="1"/>
  <c r="L370" i="5" s="1"/>
  <c r="K370" i="5" a="1"/>
  <c r="K370" i="5" s="1"/>
  <c r="J370" i="5" a="1"/>
  <c r="J370" i="5" s="1"/>
  <c r="I370" i="5" a="1"/>
  <c r="I370" i="5" s="1"/>
  <c r="H370" i="5"/>
  <c r="M369" i="5" a="1"/>
  <c r="M369" i="5" s="1"/>
  <c r="L369" i="5" a="1"/>
  <c r="L369" i="5" s="1"/>
  <c r="K369" i="5" a="1"/>
  <c r="K369" i="5" s="1"/>
  <c r="J369" i="5" a="1"/>
  <c r="J369" i="5" s="1"/>
  <c r="I369" i="5" a="1"/>
  <c r="I369" i="5" s="1"/>
  <c r="H369" i="5"/>
  <c r="M368" i="5" a="1"/>
  <c r="M368" i="5" s="1"/>
  <c r="L368" i="5" a="1"/>
  <c r="L368" i="5" s="1"/>
  <c r="K368" i="5" a="1"/>
  <c r="K368" i="5" s="1"/>
  <c r="J368" i="5" a="1"/>
  <c r="J368" i="5" s="1"/>
  <c r="I368" i="5" a="1"/>
  <c r="I368" i="5" s="1"/>
  <c r="H368" i="5"/>
  <c r="M367" i="5" a="1"/>
  <c r="M367" i="5" s="1"/>
  <c r="L367" i="5" a="1"/>
  <c r="L367" i="5" s="1"/>
  <c r="K367" i="5" a="1"/>
  <c r="K367" i="5" s="1"/>
  <c r="J367" i="5" a="1"/>
  <c r="J367" i="5" s="1"/>
  <c r="I367" i="5" a="1"/>
  <c r="I367" i="5" s="1"/>
  <c r="H367" i="5"/>
  <c r="M366" i="5" a="1"/>
  <c r="M366" i="5" s="1"/>
  <c r="L366" i="5" a="1"/>
  <c r="L366" i="5" s="1"/>
  <c r="K366" i="5" a="1"/>
  <c r="K366" i="5" s="1"/>
  <c r="J366" i="5" a="1"/>
  <c r="J366" i="5" s="1"/>
  <c r="I366" i="5" a="1"/>
  <c r="I366" i="5" s="1"/>
  <c r="H366" i="5"/>
  <c r="M365" i="5" a="1"/>
  <c r="M365" i="5" s="1"/>
  <c r="L365" i="5" a="1"/>
  <c r="L365" i="5" s="1"/>
  <c r="K365" i="5" a="1"/>
  <c r="K365" i="5" s="1"/>
  <c r="J365" i="5" a="1"/>
  <c r="J365" i="5" s="1"/>
  <c r="I365" i="5" a="1"/>
  <c r="I365" i="5" s="1"/>
  <c r="H365" i="5"/>
  <c r="M364" i="5" a="1"/>
  <c r="M364" i="5" s="1"/>
  <c r="L364" i="5" a="1"/>
  <c r="L364" i="5" s="1"/>
  <c r="K364" i="5" a="1"/>
  <c r="K364" i="5" s="1"/>
  <c r="J364" i="5" a="1"/>
  <c r="J364" i="5" s="1"/>
  <c r="I364" i="5" a="1"/>
  <c r="I364" i="5" s="1"/>
  <c r="H364" i="5"/>
  <c r="M363" i="5" a="1"/>
  <c r="M363" i="5" s="1"/>
  <c r="L363" i="5" a="1"/>
  <c r="L363" i="5" s="1"/>
  <c r="K363" i="5" a="1"/>
  <c r="K363" i="5"/>
  <c r="J363" i="5" a="1"/>
  <c r="J363" i="5" s="1"/>
  <c r="I363" i="5" a="1"/>
  <c r="I363" i="5" s="1"/>
  <c r="H363" i="5"/>
  <c r="M362" i="5" a="1"/>
  <c r="M362" i="5" s="1"/>
  <c r="L362" i="5" a="1"/>
  <c r="L362" i="5" s="1"/>
  <c r="K362" i="5" a="1"/>
  <c r="K362" i="5" s="1"/>
  <c r="J362" i="5" a="1"/>
  <c r="J362" i="5" s="1"/>
  <c r="I362" i="5" a="1"/>
  <c r="I362" i="5" s="1"/>
  <c r="H362" i="5"/>
  <c r="M361" i="5" a="1"/>
  <c r="M361" i="5" s="1"/>
  <c r="L361" i="5" a="1"/>
  <c r="L361" i="5" s="1"/>
  <c r="K361" i="5" a="1"/>
  <c r="K361" i="5" s="1"/>
  <c r="J361" i="5" a="1"/>
  <c r="J361" i="5" s="1"/>
  <c r="I361" i="5" a="1"/>
  <c r="I361" i="5" s="1"/>
  <c r="H361" i="5"/>
  <c r="M360" i="5" a="1"/>
  <c r="M360" i="5" s="1"/>
  <c r="L360" i="5" a="1"/>
  <c r="L360" i="5"/>
  <c r="K360" i="5" a="1"/>
  <c r="K360" i="5"/>
  <c r="J360" i="5" a="1"/>
  <c r="J360" i="5" s="1"/>
  <c r="I360" i="5" a="1"/>
  <c r="I360" i="5" s="1"/>
  <c r="H360" i="5"/>
  <c r="M359" i="5" a="1"/>
  <c r="M359" i="5" s="1"/>
  <c r="L359" i="5" a="1"/>
  <c r="L359" i="5" s="1"/>
  <c r="K359" i="5" a="1"/>
  <c r="K359" i="5" s="1"/>
  <c r="J359" i="5" a="1"/>
  <c r="J359" i="5" s="1"/>
  <c r="I359" i="5" a="1"/>
  <c r="I359" i="5"/>
  <c r="H359" i="5"/>
  <c r="M358" i="5" a="1"/>
  <c r="M358" i="5" s="1"/>
  <c r="L358" i="5" a="1"/>
  <c r="L358" i="5" s="1"/>
  <c r="K358" i="5" a="1"/>
  <c r="K358" i="5" s="1"/>
  <c r="J358" i="5" a="1"/>
  <c r="J358" i="5" s="1"/>
  <c r="I358" i="5" a="1"/>
  <c r="I358" i="5" s="1"/>
  <c r="H358" i="5"/>
  <c r="M357" i="5" a="1"/>
  <c r="M357" i="5" s="1"/>
  <c r="L357" i="5" a="1"/>
  <c r="L357" i="5" s="1"/>
  <c r="K357" i="5" a="1"/>
  <c r="K357" i="5" s="1"/>
  <c r="J357" i="5" a="1"/>
  <c r="J357" i="5" s="1"/>
  <c r="I357" i="5" a="1"/>
  <c r="I357" i="5" s="1"/>
  <c r="H357" i="5"/>
  <c r="M356" i="5" a="1"/>
  <c r="M356" i="5" s="1"/>
  <c r="L356" i="5" a="1"/>
  <c r="L356" i="5" s="1"/>
  <c r="K356" i="5" a="1"/>
  <c r="K356" i="5" s="1"/>
  <c r="J356" i="5" a="1"/>
  <c r="J356" i="5" s="1"/>
  <c r="I356" i="5" a="1"/>
  <c r="I356" i="5" s="1"/>
  <c r="H356" i="5"/>
  <c r="M355" i="5" a="1"/>
  <c r="M355" i="5"/>
  <c r="L355" i="5" a="1"/>
  <c r="L355" i="5"/>
  <c r="K355" i="5" a="1"/>
  <c r="K355" i="5" s="1"/>
  <c r="J355" i="5" a="1"/>
  <c r="J355" i="5" s="1"/>
  <c r="I355" i="5" a="1"/>
  <c r="I355" i="5" s="1"/>
  <c r="H355" i="5"/>
  <c r="M354" i="5" a="1"/>
  <c r="M354" i="5" s="1"/>
  <c r="L354" i="5" a="1"/>
  <c r="L354" i="5" s="1"/>
  <c r="K354" i="5" a="1"/>
  <c r="K354" i="5" s="1"/>
  <c r="J354" i="5" a="1"/>
  <c r="J354" i="5" s="1"/>
  <c r="I354" i="5" a="1"/>
  <c r="I354" i="5" s="1"/>
  <c r="H354" i="5"/>
  <c r="M353" i="5" a="1"/>
  <c r="M353" i="5" s="1"/>
  <c r="L353" i="5" a="1"/>
  <c r="L353" i="5" s="1"/>
  <c r="K353" i="5" a="1"/>
  <c r="K353" i="5" s="1"/>
  <c r="J353" i="5" a="1"/>
  <c r="J353" i="5" s="1"/>
  <c r="I353" i="5" a="1"/>
  <c r="I353" i="5" s="1"/>
  <c r="H353" i="5"/>
  <c r="M352" i="5" a="1"/>
  <c r="M352" i="5"/>
  <c r="L352" i="5" a="1"/>
  <c r="L352" i="5" s="1"/>
  <c r="K352" i="5" a="1"/>
  <c r="K352" i="5" s="1"/>
  <c r="J352" i="5" a="1"/>
  <c r="J352" i="5" s="1"/>
  <c r="I352" i="5" a="1"/>
  <c r="I352" i="5" s="1"/>
  <c r="H352" i="5"/>
  <c r="M351" i="5" a="1"/>
  <c r="M351" i="5" s="1"/>
  <c r="L351" i="5" a="1"/>
  <c r="L351" i="5" s="1"/>
  <c r="K351" i="5" a="1"/>
  <c r="K351" i="5" s="1"/>
  <c r="J351" i="5" a="1"/>
  <c r="J351" i="5" s="1"/>
  <c r="I351" i="5" a="1"/>
  <c r="I351" i="5" s="1"/>
  <c r="H351" i="5"/>
  <c r="M350" i="5" a="1"/>
  <c r="M350" i="5" s="1"/>
  <c r="L350" i="5" a="1"/>
  <c r="L350" i="5" s="1"/>
  <c r="K350" i="5" a="1"/>
  <c r="K350" i="5" s="1"/>
  <c r="J350" i="5" a="1"/>
  <c r="J350" i="5" s="1"/>
  <c r="I350" i="5" a="1"/>
  <c r="I350" i="5" s="1"/>
  <c r="H350" i="5"/>
  <c r="M349" i="5" a="1"/>
  <c r="M349" i="5" s="1"/>
  <c r="L349" i="5" a="1"/>
  <c r="L349" i="5" s="1"/>
  <c r="K349" i="5" a="1"/>
  <c r="K349" i="5" s="1"/>
  <c r="J349" i="5" a="1"/>
  <c r="J349" i="5" s="1"/>
  <c r="I349" i="5" a="1"/>
  <c r="I349" i="5" s="1"/>
  <c r="H349" i="5"/>
  <c r="M348" i="5" a="1"/>
  <c r="M348" i="5" s="1"/>
  <c r="L348" i="5" a="1"/>
  <c r="L348" i="5" s="1"/>
  <c r="K348" i="5" a="1"/>
  <c r="K348" i="5" s="1"/>
  <c r="J348" i="5" a="1"/>
  <c r="J348" i="5" s="1"/>
  <c r="I348" i="5" a="1"/>
  <c r="I348" i="5" s="1"/>
  <c r="H348" i="5"/>
  <c r="M347" i="5" a="1"/>
  <c r="M347" i="5" s="1"/>
  <c r="L347" i="5" a="1"/>
  <c r="L347" i="5" s="1"/>
  <c r="K347" i="5" a="1"/>
  <c r="K347" i="5" s="1"/>
  <c r="J347" i="5" a="1"/>
  <c r="J347" i="5" s="1"/>
  <c r="I347" i="5" a="1"/>
  <c r="I347" i="5" s="1"/>
  <c r="H347" i="5"/>
  <c r="M346" i="5" a="1"/>
  <c r="M346" i="5" s="1"/>
  <c r="L346" i="5" a="1"/>
  <c r="L346" i="5" s="1"/>
  <c r="K346" i="5" a="1"/>
  <c r="K346" i="5" s="1"/>
  <c r="J346" i="5" a="1"/>
  <c r="J346" i="5" s="1"/>
  <c r="I346" i="5" a="1"/>
  <c r="I346" i="5" s="1"/>
  <c r="H346" i="5"/>
  <c r="M345" i="5" a="1"/>
  <c r="M345" i="5" s="1"/>
  <c r="L345" i="5" a="1"/>
  <c r="L345" i="5" s="1"/>
  <c r="K345" i="5" a="1"/>
  <c r="K345" i="5" s="1"/>
  <c r="J345" i="5" a="1"/>
  <c r="J345" i="5" s="1"/>
  <c r="I345" i="5" a="1"/>
  <c r="I345" i="5" s="1"/>
  <c r="H345" i="5"/>
  <c r="M344" i="5" a="1"/>
  <c r="M344" i="5" s="1"/>
  <c r="L344" i="5" a="1"/>
  <c r="L344" i="5" s="1"/>
  <c r="K344" i="5" a="1"/>
  <c r="K344" i="5" s="1"/>
  <c r="J344" i="5" a="1"/>
  <c r="J344" i="5" s="1"/>
  <c r="I344" i="5" a="1"/>
  <c r="I344" i="5" s="1"/>
  <c r="H344" i="5"/>
  <c r="M343" i="5" a="1"/>
  <c r="M343" i="5" s="1"/>
  <c r="L343" i="5" a="1"/>
  <c r="L343" i="5" s="1"/>
  <c r="K343" i="5" a="1"/>
  <c r="K343" i="5" s="1"/>
  <c r="J343" i="5" a="1"/>
  <c r="J343" i="5" s="1"/>
  <c r="I343" i="5" a="1"/>
  <c r="I343" i="5" s="1"/>
  <c r="H343" i="5"/>
  <c r="M342" i="5" a="1"/>
  <c r="M342" i="5" s="1"/>
  <c r="L342" i="5" a="1"/>
  <c r="L342" i="5" s="1"/>
  <c r="K342" i="5" a="1"/>
  <c r="K342" i="5" s="1"/>
  <c r="J342" i="5" a="1"/>
  <c r="J342" i="5" s="1"/>
  <c r="I342" i="5" a="1"/>
  <c r="I342" i="5" s="1"/>
  <c r="H342" i="5"/>
  <c r="M341" i="5" a="1"/>
  <c r="M341" i="5" s="1"/>
  <c r="L341" i="5" a="1"/>
  <c r="L341" i="5" s="1"/>
  <c r="K341" i="5" a="1"/>
  <c r="K341" i="5" s="1"/>
  <c r="J341" i="5" a="1"/>
  <c r="J341" i="5" s="1"/>
  <c r="I341" i="5" a="1"/>
  <c r="I341" i="5" s="1"/>
  <c r="H341" i="5"/>
  <c r="M340" i="5" a="1"/>
  <c r="M340" i="5"/>
  <c r="L340" i="5" a="1"/>
  <c r="L340" i="5" s="1"/>
  <c r="K340" i="5" a="1"/>
  <c r="K340" i="5" s="1"/>
  <c r="J340" i="5" a="1"/>
  <c r="J340" i="5" s="1"/>
  <c r="I340" i="5" a="1"/>
  <c r="I340" i="5" s="1"/>
  <c r="H340" i="5"/>
  <c r="M339" i="5" a="1"/>
  <c r="M339" i="5" s="1"/>
  <c r="L339" i="5" a="1"/>
  <c r="L339" i="5" s="1"/>
  <c r="K339" i="5" a="1"/>
  <c r="K339" i="5" s="1"/>
  <c r="J339" i="5" a="1"/>
  <c r="J339" i="5" s="1"/>
  <c r="I339" i="5" a="1"/>
  <c r="I339" i="5" s="1"/>
  <c r="H339" i="5"/>
  <c r="M338" i="5" a="1"/>
  <c r="M338" i="5" s="1"/>
  <c r="L338" i="5" a="1"/>
  <c r="L338" i="5" s="1"/>
  <c r="K338" i="5" a="1"/>
  <c r="K338" i="5" s="1"/>
  <c r="J338" i="5" a="1"/>
  <c r="J338" i="5" s="1"/>
  <c r="I338" i="5" a="1"/>
  <c r="I338" i="5" s="1"/>
  <c r="H338" i="5"/>
  <c r="M337" i="5" a="1"/>
  <c r="M337" i="5" s="1"/>
  <c r="L337" i="5" a="1"/>
  <c r="L337" i="5" s="1"/>
  <c r="K337" i="5" a="1"/>
  <c r="K337" i="5" s="1"/>
  <c r="J337" i="5" a="1"/>
  <c r="J337" i="5" s="1"/>
  <c r="I337" i="5" a="1"/>
  <c r="I337" i="5" s="1"/>
  <c r="H337" i="5"/>
  <c r="M336" i="5" a="1"/>
  <c r="M336" i="5" s="1"/>
  <c r="L336" i="5" a="1"/>
  <c r="L336" i="5" s="1"/>
  <c r="K336" i="5" a="1"/>
  <c r="K336" i="5" s="1"/>
  <c r="J336" i="5" a="1"/>
  <c r="J336" i="5" s="1"/>
  <c r="I336" i="5" a="1"/>
  <c r="I336" i="5" s="1"/>
  <c r="H336" i="5"/>
  <c r="M335" i="5" a="1"/>
  <c r="M335" i="5" s="1"/>
  <c r="L335" i="5" a="1"/>
  <c r="L335" i="5"/>
  <c r="K335" i="5" a="1"/>
  <c r="K335" i="5" s="1"/>
  <c r="J335" i="5" a="1"/>
  <c r="J335" i="5" s="1"/>
  <c r="I335" i="5" a="1"/>
  <c r="I335" i="5" s="1"/>
  <c r="H335" i="5"/>
  <c r="M334" i="5" a="1"/>
  <c r="M334" i="5" s="1"/>
  <c r="L334" i="5" a="1"/>
  <c r="L334" i="5" s="1"/>
  <c r="K334" i="5" a="1"/>
  <c r="K334" i="5" s="1"/>
  <c r="J334" i="5" a="1"/>
  <c r="J334" i="5"/>
  <c r="I334" i="5" a="1"/>
  <c r="I334" i="5" s="1"/>
  <c r="H334" i="5"/>
  <c r="M333" i="5" a="1"/>
  <c r="M333" i="5" s="1"/>
  <c r="L333" i="5" a="1"/>
  <c r="L333" i="5" s="1"/>
  <c r="K333" i="5" a="1"/>
  <c r="K333" i="5" s="1"/>
  <c r="J333" i="5" a="1"/>
  <c r="J333" i="5" s="1"/>
  <c r="I333" i="5" a="1"/>
  <c r="I333" i="5" s="1"/>
  <c r="H333" i="5"/>
  <c r="M332" i="5" a="1"/>
  <c r="M332" i="5" s="1"/>
  <c r="L332" i="5" a="1"/>
  <c r="L332" i="5"/>
  <c r="K332" i="5" a="1"/>
  <c r="K332" i="5" s="1"/>
  <c r="J332" i="5" a="1"/>
  <c r="J332" i="5" s="1"/>
  <c r="I332" i="5" a="1"/>
  <c r="I332" i="5" s="1"/>
  <c r="H332" i="5"/>
  <c r="M331" i="5" a="1"/>
  <c r="M331" i="5" s="1"/>
  <c r="L331" i="5" a="1"/>
  <c r="L331" i="5" s="1"/>
  <c r="K331" i="5" a="1"/>
  <c r="K331" i="5" s="1"/>
  <c r="J331" i="5" a="1"/>
  <c r="J331" i="5" s="1"/>
  <c r="I331" i="5" a="1"/>
  <c r="I331" i="5" s="1"/>
  <c r="H331" i="5"/>
  <c r="M330" i="5" a="1"/>
  <c r="M330" i="5" s="1"/>
  <c r="L330" i="5" a="1"/>
  <c r="L330" i="5" s="1"/>
  <c r="K330" i="5" a="1"/>
  <c r="K330" i="5" s="1"/>
  <c r="J330" i="5" a="1"/>
  <c r="J330" i="5" s="1"/>
  <c r="I330" i="5" a="1"/>
  <c r="I330" i="5" s="1"/>
  <c r="H330" i="5"/>
  <c r="M329" i="5" a="1"/>
  <c r="M329" i="5" s="1"/>
  <c r="L329" i="5" a="1"/>
  <c r="L329" i="5" s="1"/>
  <c r="K329" i="5" a="1"/>
  <c r="K329" i="5" s="1"/>
  <c r="J329" i="5" a="1"/>
  <c r="J329" i="5"/>
  <c r="I329" i="5" a="1"/>
  <c r="I329" i="5" s="1"/>
  <c r="H329" i="5"/>
  <c r="M328" i="5" a="1"/>
  <c r="M328" i="5" s="1"/>
  <c r="L328" i="5" a="1"/>
  <c r="L328" i="5" s="1"/>
  <c r="K328" i="5" a="1"/>
  <c r="K328" i="5" s="1"/>
  <c r="J328" i="5" a="1"/>
  <c r="J328" i="5" s="1"/>
  <c r="I328" i="5" a="1"/>
  <c r="I328" i="5" s="1"/>
  <c r="H328" i="5"/>
  <c r="M327" i="5" a="1"/>
  <c r="M327" i="5" s="1"/>
  <c r="L327" i="5" a="1"/>
  <c r="L327" i="5" s="1"/>
  <c r="K327" i="5" a="1"/>
  <c r="K327" i="5" s="1"/>
  <c r="J327" i="5" a="1"/>
  <c r="J327" i="5" s="1"/>
  <c r="I327" i="5" a="1"/>
  <c r="I327" i="5" s="1"/>
  <c r="H327" i="5"/>
  <c r="M326" i="5" a="1"/>
  <c r="M326" i="5" s="1"/>
  <c r="L326" i="5" a="1"/>
  <c r="L326" i="5" s="1"/>
  <c r="K326" i="5" a="1"/>
  <c r="K326" i="5" s="1"/>
  <c r="J326" i="5" a="1"/>
  <c r="J326" i="5" s="1"/>
  <c r="I326" i="5" a="1"/>
  <c r="I326" i="5" s="1"/>
  <c r="H326" i="5"/>
  <c r="M325" i="5" a="1"/>
  <c r="M325" i="5"/>
  <c r="L325" i="5" a="1"/>
  <c r="L325" i="5" s="1"/>
  <c r="K325" i="5" a="1"/>
  <c r="K325" i="5" s="1"/>
  <c r="J325" i="5" a="1"/>
  <c r="J325" i="5" s="1"/>
  <c r="I325" i="5" a="1"/>
  <c r="I325" i="5" s="1"/>
  <c r="H325" i="5"/>
  <c r="M324" i="5" a="1"/>
  <c r="M324" i="5" s="1"/>
  <c r="L324" i="5" a="1"/>
  <c r="L324" i="5" s="1"/>
  <c r="K324" i="5" a="1"/>
  <c r="K324" i="5" s="1"/>
  <c r="J324" i="5" a="1"/>
  <c r="J324" i="5" s="1"/>
  <c r="I324" i="5" a="1"/>
  <c r="I324" i="5"/>
  <c r="H324" i="5"/>
  <c r="M323" i="5" a="1"/>
  <c r="M323" i="5" s="1"/>
  <c r="L323" i="5" a="1"/>
  <c r="L323" i="5" s="1"/>
  <c r="K323" i="5" a="1"/>
  <c r="K323" i="5" s="1"/>
  <c r="J323" i="5" a="1"/>
  <c r="J323" i="5" s="1"/>
  <c r="I323" i="5" a="1"/>
  <c r="I323" i="5" s="1"/>
  <c r="H323" i="5"/>
  <c r="M322" i="5" a="1"/>
  <c r="M322" i="5" s="1"/>
  <c r="L322" i="5" a="1"/>
  <c r="L322" i="5" s="1"/>
  <c r="K322" i="5" a="1"/>
  <c r="K322" i="5" s="1"/>
  <c r="J322" i="5" a="1"/>
  <c r="J322" i="5" s="1"/>
  <c r="I322" i="5" a="1"/>
  <c r="I322" i="5" s="1"/>
  <c r="H322" i="5"/>
  <c r="M321" i="5" a="1"/>
  <c r="M321" i="5" s="1"/>
  <c r="L321" i="5" a="1"/>
  <c r="L321" i="5" s="1"/>
  <c r="K321" i="5" a="1"/>
  <c r="K321" i="5" s="1"/>
  <c r="J321" i="5" a="1"/>
  <c r="J321" i="5" s="1"/>
  <c r="I321" i="5" a="1"/>
  <c r="I321" i="5" s="1"/>
  <c r="H321" i="5"/>
  <c r="M320" i="5" a="1"/>
  <c r="M320" i="5" s="1"/>
  <c r="L320" i="5" a="1"/>
  <c r="L320" i="5" s="1"/>
  <c r="K320" i="5" a="1"/>
  <c r="K320" i="5" s="1"/>
  <c r="J320" i="5" a="1"/>
  <c r="J320" i="5" s="1"/>
  <c r="I320" i="5" a="1"/>
  <c r="I320" i="5" s="1"/>
  <c r="H320" i="5"/>
  <c r="M319" i="5" a="1"/>
  <c r="M319" i="5" s="1"/>
  <c r="L319" i="5" a="1"/>
  <c r="L319" i="5" s="1"/>
  <c r="K319" i="5" a="1"/>
  <c r="K319" i="5" s="1"/>
  <c r="J319" i="5" a="1"/>
  <c r="J319" i="5" s="1"/>
  <c r="I319" i="5" a="1"/>
  <c r="I319" i="5" s="1"/>
  <c r="H319" i="5"/>
  <c r="M318" i="5" a="1"/>
  <c r="M318" i="5" s="1"/>
  <c r="L318" i="5" a="1"/>
  <c r="L318" i="5" s="1"/>
  <c r="K318" i="5" a="1"/>
  <c r="K318" i="5" s="1"/>
  <c r="J318" i="5" a="1"/>
  <c r="J318" i="5" s="1"/>
  <c r="I318" i="5" a="1"/>
  <c r="I318" i="5" s="1"/>
  <c r="H318" i="5"/>
  <c r="M317" i="5" a="1"/>
  <c r="M317" i="5" s="1"/>
  <c r="L317" i="5" a="1"/>
  <c r="L317" i="5" s="1"/>
  <c r="K317" i="5" a="1"/>
  <c r="K317" i="5" s="1"/>
  <c r="J317" i="5" a="1"/>
  <c r="J317" i="5" s="1"/>
  <c r="I317" i="5" a="1"/>
  <c r="I317" i="5" s="1"/>
  <c r="H317" i="5"/>
  <c r="M316" i="5" a="1"/>
  <c r="M316" i="5" s="1"/>
  <c r="L316" i="5" a="1"/>
  <c r="L316" i="5" s="1"/>
  <c r="K316" i="5" a="1"/>
  <c r="K316" i="5" s="1"/>
  <c r="J316" i="5" a="1"/>
  <c r="J316" i="5" s="1"/>
  <c r="I316" i="5" a="1"/>
  <c r="I316" i="5" s="1"/>
  <c r="H316" i="5"/>
  <c r="M315" i="5" a="1"/>
  <c r="M315" i="5"/>
  <c r="L315" i="5" a="1"/>
  <c r="L315" i="5" s="1"/>
  <c r="K315" i="5" a="1"/>
  <c r="K315" i="5" s="1"/>
  <c r="J315" i="5" a="1"/>
  <c r="J315" i="5" s="1"/>
  <c r="I315" i="5" a="1"/>
  <c r="I315" i="5" s="1"/>
  <c r="H315" i="5"/>
  <c r="M314" i="5" a="1"/>
  <c r="M314" i="5" s="1"/>
  <c r="L314" i="5" a="1"/>
  <c r="L314" i="5" s="1"/>
  <c r="K314" i="5" a="1"/>
  <c r="K314" i="5" s="1"/>
  <c r="J314" i="5" a="1"/>
  <c r="J314" i="5" s="1"/>
  <c r="I314" i="5" a="1"/>
  <c r="I314" i="5" s="1"/>
  <c r="H314" i="5"/>
  <c r="M313" i="5" a="1"/>
  <c r="M313" i="5" s="1"/>
  <c r="L313" i="5" a="1"/>
  <c r="L313" i="5" s="1"/>
  <c r="K313" i="5" a="1"/>
  <c r="K313" i="5" s="1"/>
  <c r="J313" i="5" a="1"/>
  <c r="J313" i="5" s="1"/>
  <c r="I313" i="5" a="1"/>
  <c r="I313" i="5" s="1"/>
  <c r="H313" i="5"/>
  <c r="M312" i="5" a="1"/>
  <c r="M312" i="5" s="1"/>
  <c r="L312" i="5" a="1"/>
  <c r="L312" i="5" s="1"/>
  <c r="K312" i="5" a="1"/>
  <c r="K312" i="5"/>
  <c r="J312" i="5" a="1"/>
  <c r="J312" i="5" s="1"/>
  <c r="I312" i="5" a="1"/>
  <c r="I312" i="5" s="1"/>
  <c r="H312" i="5"/>
  <c r="M311" i="5" a="1"/>
  <c r="M311" i="5" s="1"/>
  <c r="L311" i="5" a="1"/>
  <c r="L311" i="5"/>
  <c r="K311" i="5" a="1"/>
  <c r="K311" i="5" s="1"/>
  <c r="J311" i="5" a="1"/>
  <c r="J311" i="5" s="1"/>
  <c r="I311" i="5" a="1"/>
  <c r="I311" i="5"/>
  <c r="H311" i="5"/>
  <c r="M310" i="5" a="1"/>
  <c r="M310" i="5"/>
  <c r="L310" i="5" a="1"/>
  <c r="L310" i="5" s="1"/>
  <c r="K310" i="5" a="1"/>
  <c r="K310" i="5" s="1"/>
  <c r="J310" i="5" a="1"/>
  <c r="J310" i="5" s="1"/>
  <c r="I310" i="5" a="1"/>
  <c r="I310" i="5" s="1"/>
  <c r="H310" i="5"/>
  <c r="M309" i="5" a="1"/>
  <c r="M309" i="5" s="1"/>
  <c r="L309" i="5" a="1"/>
  <c r="L309" i="5" s="1"/>
  <c r="K309" i="5" a="1"/>
  <c r="K309" i="5" s="1"/>
  <c r="J309" i="5" a="1"/>
  <c r="J309" i="5" s="1"/>
  <c r="I309" i="5" a="1"/>
  <c r="I309" i="5" s="1"/>
  <c r="H309" i="5"/>
  <c r="M308" i="5" a="1"/>
  <c r="M308" i="5" s="1"/>
  <c r="L308" i="5" a="1"/>
  <c r="L308" i="5" s="1"/>
  <c r="K308" i="5" a="1"/>
  <c r="K308" i="5" s="1"/>
  <c r="J308" i="5" a="1"/>
  <c r="J308" i="5" s="1"/>
  <c r="I308" i="5" a="1"/>
  <c r="I308" i="5" s="1"/>
  <c r="H308" i="5"/>
  <c r="M307" i="5" a="1"/>
  <c r="M307" i="5" s="1"/>
  <c r="L307" i="5" a="1"/>
  <c r="L307" i="5" s="1"/>
  <c r="K307" i="5" a="1"/>
  <c r="K307" i="5" s="1"/>
  <c r="J307" i="5" a="1"/>
  <c r="J307" i="5" s="1"/>
  <c r="I307" i="5" a="1"/>
  <c r="I307" i="5" s="1"/>
  <c r="H307" i="5"/>
  <c r="M306" i="5" a="1"/>
  <c r="M306" i="5" s="1"/>
  <c r="L306" i="5" a="1"/>
  <c r="L306" i="5" s="1"/>
  <c r="K306" i="5" a="1"/>
  <c r="K306" i="5" s="1"/>
  <c r="J306" i="5" a="1"/>
  <c r="J306" i="5" s="1"/>
  <c r="I306" i="5" a="1"/>
  <c r="I306" i="5" s="1"/>
  <c r="H306" i="5"/>
  <c r="M305" i="5" a="1"/>
  <c r="M305" i="5" s="1"/>
  <c r="L305" i="5" a="1"/>
  <c r="L305" i="5" s="1"/>
  <c r="K305" i="5" a="1"/>
  <c r="K305" i="5" s="1"/>
  <c r="J305" i="5" a="1"/>
  <c r="J305" i="5" s="1"/>
  <c r="I305" i="5" a="1"/>
  <c r="I305" i="5" s="1"/>
  <c r="H305" i="5"/>
  <c r="M304" i="5" a="1"/>
  <c r="M304" i="5" s="1"/>
  <c r="L304" i="5" a="1"/>
  <c r="L304" i="5" s="1"/>
  <c r="K304" i="5" a="1"/>
  <c r="K304" i="5" s="1"/>
  <c r="J304" i="5" a="1"/>
  <c r="J304" i="5" s="1"/>
  <c r="I304" i="5" a="1"/>
  <c r="I304" i="5"/>
  <c r="H304" i="5"/>
  <c r="M303" i="5" a="1"/>
  <c r="M303" i="5" s="1"/>
  <c r="L303" i="5" a="1"/>
  <c r="L303" i="5"/>
  <c r="K303" i="5" a="1"/>
  <c r="K303" i="5" s="1"/>
  <c r="J303" i="5" a="1"/>
  <c r="J303" i="5" s="1"/>
  <c r="I303" i="5" a="1"/>
  <c r="I303" i="5" s="1"/>
  <c r="H303" i="5"/>
  <c r="M302" i="5" a="1"/>
  <c r="M302" i="5" s="1"/>
  <c r="L302" i="5" a="1"/>
  <c r="L302" i="5" s="1"/>
  <c r="K302" i="5" a="1"/>
  <c r="K302" i="5" s="1"/>
  <c r="J302" i="5" a="1"/>
  <c r="J302" i="5" s="1"/>
  <c r="I302" i="5" a="1"/>
  <c r="I302" i="5" s="1"/>
  <c r="H302" i="5"/>
  <c r="M301" i="5" a="1"/>
  <c r="M301" i="5" s="1"/>
  <c r="L301" i="5" a="1"/>
  <c r="L301" i="5" s="1"/>
  <c r="K301" i="5" a="1"/>
  <c r="K301" i="5" s="1"/>
  <c r="J301" i="5" a="1"/>
  <c r="J301" i="5" s="1"/>
  <c r="I301" i="5" a="1"/>
  <c r="I301" i="5" s="1"/>
  <c r="H301" i="5"/>
  <c r="M300" i="5" a="1"/>
  <c r="M300" i="5" s="1"/>
  <c r="L300" i="5" a="1"/>
  <c r="L300" i="5" s="1"/>
  <c r="K300" i="5" a="1"/>
  <c r="K300" i="5" s="1"/>
  <c r="J300" i="5" a="1"/>
  <c r="J300" i="5"/>
  <c r="I300" i="5" a="1"/>
  <c r="I300" i="5" s="1"/>
  <c r="H300" i="5"/>
  <c r="M299" i="5" a="1"/>
  <c r="M299" i="5" s="1"/>
  <c r="L299" i="5" a="1"/>
  <c r="L299" i="5" s="1"/>
  <c r="K299" i="5" a="1"/>
  <c r="K299" i="5" s="1"/>
  <c r="J299" i="5" a="1"/>
  <c r="J299" i="5" s="1"/>
  <c r="I299" i="5" a="1"/>
  <c r="I299" i="5" s="1"/>
  <c r="H299" i="5"/>
  <c r="M298" i="5" a="1"/>
  <c r="M298" i="5" s="1"/>
  <c r="L298" i="5" a="1"/>
  <c r="L298" i="5" s="1"/>
  <c r="K298" i="5" a="1"/>
  <c r="K298" i="5" s="1"/>
  <c r="J298" i="5" a="1"/>
  <c r="J298" i="5" s="1"/>
  <c r="I298" i="5" a="1"/>
  <c r="I298" i="5" s="1"/>
  <c r="H298" i="5"/>
  <c r="M297" i="5" a="1"/>
  <c r="M297" i="5" s="1"/>
  <c r="L297" i="5" a="1"/>
  <c r="L297" i="5" s="1"/>
  <c r="K297" i="5" a="1"/>
  <c r="K297" i="5" s="1"/>
  <c r="J297" i="5" a="1"/>
  <c r="J297" i="5" s="1"/>
  <c r="I297" i="5" a="1"/>
  <c r="I297" i="5" s="1"/>
  <c r="H297" i="5"/>
  <c r="M296" i="5" a="1"/>
  <c r="M296" i="5" s="1"/>
  <c r="L296" i="5" a="1"/>
  <c r="L296" i="5" s="1"/>
  <c r="K296" i="5" a="1"/>
  <c r="K296" i="5" s="1"/>
  <c r="J296" i="5" a="1"/>
  <c r="J296" i="5" s="1"/>
  <c r="I296" i="5" a="1"/>
  <c r="I296" i="5" s="1"/>
  <c r="H296" i="5"/>
  <c r="M295" i="5" a="1"/>
  <c r="M295" i="5" s="1"/>
  <c r="L295" i="5" a="1"/>
  <c r="L295" i="5" s="1"/>
  <c r="K295" i="5" a="1"/>
  <c r="K295" i="5" s="1"/>
  <c r="J295" i="5" a="1"/>
  <c r="J295" i="5" s="1"/>
  <c r="I295" i="5" a="1"/>
  <c r="I295" i="5" s="1"/>
  <c r="H295" i="5"/>
  <c r="M294" i="5" a="1"/>
  <c r="M294" i="5"/>
  <c r="L294" i="5" a="1"/>
  <c r="L294" i="5" s="1"/>
  <c r="K294" i="5" a="1"/>
  <c r="K294" i="5" s="1"/>
  <c r="J294" i="5" a="1"/>
  <c r="J294" i="5" s="1"/>
  <c r="I294" i="5" a="1"/>
  <c r="I294" i="5" s="1"/>
  <c r="H294" i="5"/>
  <c r="M293" i="5" a="1"/>
  <c r="M293" i="5" s="1"/>
  <c r="L293" i="5" a="1"/>
  <c r="L293" i="5" s="1"/>
  <c r="K293" i="5" a="1"/>
  <c r="K293" i="5" s="1"/>
  <c r="J293" i="5" a="1"/>
  <c r="J293" i="5" s="1"/>
  <c r="I293" i="5" a="1"/>
  <c r="I293" i="5" s="1"/>
  <c r="H293" i="5"/>
  <c r="M292" i="5" a="1"/>
  <c r="M292" i="5" s="1"/>
  <c r="L292" i="5" a="1"/>
  <c r="L292" i="5" s="1"/>
  <c r="K292" i="5" a="1"/>
  <c r="K292" i="5" s="1"/>
  <c r="J292" i="5" a="1"/>
  <c r="J292" i="5" s="1"/>
  <c r="I292" i="5" a="1"/>
  <c r="I292" i="5" s="1"/>
  <c r="H292" i="5"/>
  <c r="M291" i="5" a="1"/>
  <c r="M291" i="5" s="1"/>
  <c r="L291" i="5" a="1"/>
  <c r="L291" i="5" s="1"/>
  <c r="K291" i="5" a="1"/>
  <c r="K291" i="5" s="1"/>
  <c r="J291" i="5" a="1"/>
  <c r="J291" i="5" s="1"/>
  <c r="I291" i="5" a="1"/>
  <c r="I291" i="5" s="1"/>
  <c r="H291" i="5"/>
  <c r="M290" i="5" a="1"/>
  <c r="M290" i="5" s="1"/>
  <c r="L290" i="5" a="1"/>
  <c r="L290" i="5"/>
  <c r="K290" i="5" a="1"/>
  <c r="K290" i="5" s="1"/>
  <c r="J290" i="5" a="1"/>
  <c r="J290" i="5" s="1"/>
  <c r="I290" i="5" a="1"/>
  <c r="I290" i="5" s="1"/>
  <c r="H290" i="5"/>
  <c r="M289" i="5" a="1"/>
  <c r="M289" i="5" s="1"/>
  <c r="L289" i="5" a="1"/>
  <c r="L289" i="5" s="1"/>
  <c r="K289" i="5" a="1"/>
  <c r="K289" i="5" s="1"/>
  <c r="J289" i="5" a="1"/>
  <c r="J289" i="5" s="1"/>
  <c r="I289" i="5" a="1"/>
  <c r="I289" i="5" s="1"/>
  <c r="H289" i="5"/>
  <c r="M288" i="5" a="1"/>
  <c r="M288" i="5" s="1"/>
  <c r="L288" i="5" a="1"/>
  <c r="L288" i="5" s="1"/>
  <c r="K288" i="5" a="1"/>
  <c r="K288" i="5" s="1"/>
  <c r="J288" i="5" a="1"/>
  <c r="J288" i="5" s="1"/>
  <c r="I288" i="5" a="1"/>
  <c r="I288" i="5" s="1"/>
  <c r="H288" i="5"/>
  <c r="M287" i="5" a="1"/>
  <c r="M287" i="5" s="1"/>
  <c r="L287" i="5" a="1"/>
  <c r="L287" i="5" s="1"/>
  <c r="K287" i="5" a="1"/>
  <c r="K287" i="5" s="1"/>
  <c r="J287" i="5" a="1"/>
  <c r="J287" i="5" s="1"/>
  <c r="I287" i="5" a="1"/>
  <c r="I287" i="5" s="1"/>
  <c r="H287" i="5"/>
  <c r="M286" i="5" a="1"/>
  <c r="M286" i="5" s="1"/>
  <c r="L286" i="5" a="1"/>
  <c r="L286" i="5" s="1"/>
  <c r="K286" i="5" a="1"/>
  <c r="K286" i="5" s="1"/>
  <c r="J286" i="5" a="1"/>
  <c r="J286" i="5" s="1"/>
  <c r="I286" i="5" a="1"/>
  <c r="I286" i="5" s="1"/>
  <c r="H286" i="5"/>
  <c r="M285" i="5" a="1"/>
  <c r="M285" i="5" s="1"/>
  <c r="L285" i="5" a="1"/>
  <c r="L285" i="5" s="1"/>
  <c r="K285" i="5" a="1"/>
  <c r="K285" i="5" s="1"/>
  <c r="J285" i="5" a="1"/>
  <c r="J285" i="5" s="1"/>
  <c r="I285" i="5" a="1"/>
  <c r="I285" i="5"/>
  <c r="H285" i="5"/>
  <c r="M284" i="5" a="1"/>
  <c r="M284" i="5" s="1"/>
  <c r="L284" i="5" a="1"/>
  <c r="L284" i="5" s="1"/>
  <c r="K284" i="5" a="1"/>
  <c r="K284" i="5" s="1"/>
  <c r="J284" i="5" a="1"/>
  <c r="J284" i="5" s="1"/>
  <c r="I284" i="5" a="1"/>
  <c r="I284" i="5" s="1"/>
  <c r="H284" i="5"/>
  <c r="M283" i="5" a="1"/>
  <c r="M283" i="5" s="1"/>
  <c r="L283" i="5" a="1"/>
  <c r="L283" i="5" s="1"/>
  <c r="K283" i="5" a="1"/>
  <c r="K283" i="5"/>
  <c r="J283" i="5" a="1"/>
  <c r="J283" i="5" s="1"/>
  <c r="I283" i="5" a="1"/>
  <c r="I283" i="5" s="1"/>
  <c r="H283" i="5"/>
  <c r="M282" i="5" a="1"/>
  <c r="M282" i="5" s="1"/>
  <c r="L282" i="5" a="1"/>
  <c r="L282" i="5" s="1"/>
  <c r="K282" i="5" a="1"/>
  <c r="K282" i="5" s="1"/>
  <c r="J282" i="5" a="1"/>
  <c r="J282" i="5" s="1"/>
  <c r="I282" i="5" a="1"/>
  <c r="I282" i="5" s="1"/>
  <c r="H282" i="5"/>
  <c r="M281" i="5" a="1"/>
  <c r="M281" i="5" s="1"/>
  <c r="L281" i="5" a="1"/>
  <c r="L281" i="5" s="1"/>
  <c r="K281" i="5" a="1"/>
  <c r="K281" i="5" s="1"/>
  <c r="J281" i="5" a="1"/>
  <c r="J281" i="5" s="1"/>
  <c r="I281" i="5" a="1"/>
  <c r="I281" i="5" s="1"/>
  <c r="H281" i="5"/>
  <c r="M280" i="5" a="1"/>
  <c r="M280" i="5" s="1"/>
  <c r="L280" i="5" a="1"/>
  <c r="L280" i="5" s="1"/>
  <c r="K280" i="5" a="1"/>
  <c r="K280" i="5" s="1"/>
  <c r="J280" i="5" a="1"/>
  <c r="J280" i="5" s="1"/>
  <c r="I280" i="5" a="1"/>
  <c r="I280" i="5" s="1"/>
  <c r="H280" i="5"/>
  <c r="M279" i="5" a="1"/>
  <c r="M279" i="5" s="1"/>
  <c r="L279" i="5" a="1"/>
  <c r="L279" i="5" s="1"/>
  <c r="K279" i="5" a="1"/>
  <c r="K279" i="5" s="1"/>
  <c r="J279" i="5" a="1"/>
  <c r="J279" i="5" s="1"/>
  <c r="I279" i="5" a="1"/>
  <c r="I279" i="5" s="1"/>
  <c r="H279" i="5"/>
  <c r="M278" i="5" a="1"/>
  <c r="M278" i="5" s="1"/>
  <c r="L278" i="5" a="1"/>
  <c r="L278" i="5" s="1"/>
  <c r="K278" i="5" a="1"/>
  <c r="K278" i="5" s="1"/>
  <c r="J278" i="5" a="1"/>
  <c r="J278" i="5"/>
  <c r="I278" i="5" a="1"/>
  <c r="I278" i="5" s="1"/>
  <c r="H278" i="5"/>
  <c r="M277" i="5" a="1"/>
  <c r="M277" i="5" s="1"/>
  <c r="L277" i="5" a="1"/>
  <c r="L277" i="5" s="1"/>
  <c r="K277" i="5" a="1"/>
  <c r="K277" i="5" s="1"/>
  <c r="J277" i="5" a="1"/>
  <c r="J277" i="5" s="1"/>
  <c r="I277" i="5" a="1"/>
  <c r="I277" i="5" s="1"/>
  <c r="H277" i="5"/>
  <c r="M276" i="5" a="1"/>
  <c r="M276" i="5" s="1"/>
  <c r="L276" i="5" a="1"/>
  <c r="L276" i="5" s="1"/>
  <c r="K276" i="5" a="1"/>
  <c r="K276" i="5" s="1"/>
  <c r="J276" i="5" a="1"/>
  <c r="J276" i="5" s="1"/>
  <c r="I276" i="5" a="1"/>
  <c r="I276" i="5" s="1"/>
  <c r="H276" i="5"/>
  <c r="M275" i="5" a="1"/>
  <c r="M275" i="5" s="1"/>
  <c r="L275" i="5" a="1"/>
  <c r="L275" i="5" s="1"/>
  <c r="K275" i="5" a="1"/>
  <c r="K275" i="5" s="1"/>
  <c r="J275" i="5" a="1"/>
  <c r="J275" i="5" s="1"/>
  <c r="I275" i="5" a="1"/>
  <c r="I275" i="5" s="1"/>
  <c r="H275" i="5"/>
  <c r="M274" i="5" a="1"/>
  <c r="M274" i="5" s="1"/>
  <c r="L274" i="5" a="1"/>
  <c r="L274" i="5" s="1"/>
  <c r="K274" i="5" a="1"/>
  <c r="K274" i="5" s="1"/>
  <c r="J274" i="5" a="1"/>
  <c r="J274" i="5" s="1"/>
  <c r="I274" i="5" a="1"/>
  <c r="I274" i="5" s="1"/>
  <c r="H274" i="5"/>
  <c r="M273" i="5" a="1"/>
  <c r="M273" i="5" s="1"/>
  <c r="L273" i="5" a="1"/>
  <c r="L273" i="5" s="1"/>
  <c r="K273" i="5" a="1"/>
  <c r="K273" i="5" s="1"/>
  <c r="J273" i="5" a="1"/>
  <c r="J273" i="5" s="1"/>
  <c r="I273" i="5" a="1"/>
  <c r="I273" i="5" s="1"/>
  <c r="H273" i="5"/>
  <c r="M272" i="5" a="1"/>
  <c r="M272" i="5" s="1"/>
  <c r="L272" i="5" a="1"/>
  <c r="L272" i="5" s="1"/>
  <c r="K272" i="5" a="1"/>
  <c r="K272" i="5" s="1"/>
  <c r="J272" i="5" a="1"/>
  <c r="J272" i="5" s="1"/>
  <c r="I272" i="5" a="1"/>
  <c r="I272" i="5" s="1"/>
  <c r="H272" i="5"/>
  <c r="M271" i="5" a="1"/>
  <c r="M271" i="5" s="1"/>
  <c r="L271" i="5" a="1"/>
  <c r="L271" i="5" s="1"/>
  <c r="K271" i="5" a="1"/>
  <c r="K271" i="5" s="1"/>
  <c r="J271" i="5" a="1"/>
  <c r="J271" i="5" s="1"/>
  <c r="I271" i="5" a="1"/>
  <c r="I271" i="5" s="1"/>
  <c r="H271" i="5"/>
  <c r="M270" i="5" a="1"/>
  <c r="M270" i="5" s="1"/>
  <c r="L270" i="5" a="1"/>
  <c r="L270" i="5" s="1"/>
  <c r="K270" i="5" a="1"/>
  <c r="K270" i="5" s="1"/>
  <c r="J270" i="5" a="1"/>
  <c r="J270" i="5" s="1"/>
  <c r="I270" i="5" a="1"/>
  <c r="I270" i="5" s="1"/>
  <c r="H270" i="5"/>
  <c r="M269" i="5" a="1"/>
  <c r="M269" i="5" s="1"/>
  <c r="L269" i="5" a="1"/>
  <c r="L269" i="5" s="1"/>
  <c r="K269" i="5" a="1"/>
  <c r="K269" i="5" s="1"/>
  <c r="J269" i="5" a="1"/>
  <c r="J269" i="5" s="1"/>
  <c r="I269" i="5" a="1"/>
  <c r="I269" i="5" s="1"/>
  <c r="H269" i="5"/>
  <c r="M268" i="5" a="1"/>
  <c r="M268" i="5" s="1"/>
  <c r="L268" i="5" a="1"/>
  <c r="L268" i="5" s="1"/>
  <c r="K268" i="5" a="1"/>
  <c r="K268" i="5" s="1"/>
  <c r="J268" i="5" a="1"/>
  <c r="J268" i="5" s="1"/>
  <c r="I268" i="5" a="1"/>
  <c r="I268" i="5" s="1"/>
  <c r="H268" i="5"/>
  <c r="M267" i="5" a="1"/>
  <c r="M267" i="5" s="1"/>
  <c r="L267" i="5" a="1"/>
  <c r="L267" i="5" s="1"/>
  <c r="K267" i="5" a="1"/>
  <c r="K267" i="5" s="1"/>
  <c r="J267" i="5" a="1"/>
  <c r="J267" i="5" s="1"/>
  <c r="I267" i="5" a="1"/>
  <c r="I267" i="5" s="1"/>
  <c r="H267" i="5"/>
  <c r="M266" i="5" a="1"/>
  <c r="M266" i="5" s="1"/>
  <c r="L266" i="5" a="1"/>
  <c r="L266" i="5" s="1"/>
  <c r="K266" i="5" a="1"/>
  <c r="K266" i="5" s="1"/>
  <c r="J266" i="5" a="1"/>
  <c r="J266" i="5"/>
  <c r="I266" i="5" a="1"/>
  <c r="I266" i="5" s="1"/>
  <c r="H266" i="5"/>
  <c r="M265" i="5" a="1"/>
  <c r="M265" i="5" s="1"/>
  <c r="L265" i="5" a="1"/>
  <c r="L265" i="5" s="1"/>
  <c r="K265" i="5" a="1"/>
  <c r="K265" i="5" s="1"/>
  <c r="J265" i="5" a="1"/>
  <c r="J265" i="5" s="1"/>
  <c r="I265" i="5" a="1"/>
  <c r="I265" i="5" s="1"/>
  <c r="H265" i="5"/>
  <c r="M264" i="5" a="1"/>
  <c r="M264" i="5" s="1"/>
  <c r="L264" i="5" a="1"/>
  <c r="L264" i="5" s="1"/>
  <c r="K264" i="5" a="1"/>
  <c r="K264" i="5" s="1"/>
  <c r="J264" i="5" a="1"/>
  <c r="J264" i="5" s="1"/>
  <c r="I264" i="5" a="1"/>
  <c r="I264" i="5" s="1"/>
  <c r="H264" i="5"/>
  <c r="M263" i="5" a="1"/>
  <c r="M263" i="5" s="1"/>
  <c r="L263" i="5" a="1"/>
  <c r="L263" i="5" s="1"/>
  <c r="K263" i="5" a="1"/>
  <c r="K263" i="5" s="1"/>
  <c r="J263" i="5" a="1"/>
  <c r="J263" i="5" s="1"/>
  <c r="I263" i="5" a="1"/>
  <c r="I263" i="5" s="1"/>
  <c r="H263" i="5"/>
  <c r="M262" i="5" a="1"/>
  <c r="M262" i="5" s="1"/>
  <c r="L262" i="5" a="1"/>
  <c r="L262" i="5" s="1"/>
  <c r="K262" i="5" a="1"/>
  <c r="K262" i="5" s="1"/>
  <c r="J262" i="5" a="1"/>
  <c r="J262" i="5"/>
  <c r="I262" i="5" a="1"/>
  <c r="I262" i="5" s="1"/>
  <c r="H262" i="5"/>
  <c r="M261" i="5" a="1"/>
  <c r="M261" i="5" s="1"/>
  <c r="L261" i="5" a="1"/>
  <c r="L261" i="5"/>
  <c r="K261" i="5" a="1"/>
  <c r="K261" i="5" s="1"/>
  <c r="J261" i="5" a="1"/>
  <c r="J261" i="5" s="1"/>
  <c r="I261" i="5" a="1"/>
  <c r="I261" i="5" s="1"/>
  <c r="H261" i="5"/>
  <c r="M260" i="5" a="1"/>
  <c r="M260" i="5" s="1"/>
  <c r="L260" i="5" a="1"/>
  <c r="L260" i="5"/>
  <c r="K260" i="5" a="1"/>
  <c r="K260" i="5" s="1"/>
  <c r="J260" i="5" a="1"/>
  <c r="J260" i="5" s="1"/>
  <c r="I260" i="5" a="1"/>
  <c r="I260" i="5" s="1"/>
  <c r="H260" i="5"/>
  <c r="M259" i="5" a="1"/>
  <c r="M259" i="5" s="1"/>
  <c r="L259" i="5" a="1"/>
  <c r="L259" i="5" s="1"/>
  <c r="K259" i="5" a="1"/>
  <c r="K259" i="5" s="1"/>
  <c r="J259" i="5" a="1"/>
  <c r="J259" i="5" s="1"/>
  <c r="I259" i="5" a="1"/>
  <c r="I259" i="5" s="1"/>
  <c r="H259" i="5"/>
  <c r="M258" i="5" a="1"/>
  <c r="M258" i="5" s="1"/>
  <c r="L258" i="5" a="1"/>
  <c r="L258" i="5" s="1"/>
  <c r="K258" i="5" a="1"/>
  <c r="K258" i="5" s="1"/>
  <c r="J258" i="5" a="1"/>
  <c r="J258" i="5" s="1"/>
  <c r="I258" i="5" a="1"/>
  <c r="I258" i="5" s="1"/>
  <c r="H258" i="5"/>
  <c r="M257" i="5" a="1"/>
  <c r="M257" i="5" s="1"/>
  <c r="L257" i="5" a="1"/>
  <c r="L257" i="5" s="1"/>
  <c r="K257" i="5" a="1"/>
  <c r="K257" i="5" s="1"/>
  <c r="J257" i="5" a="1"/>
  <c r="J257" i="5" s="1"/>
  <c r="I257" i="5" a="1"/>
  <c r="I257" i="5" s="1"/>
  <c r="H257" i="5"/>
  <c r="M256" i="5" a="1"/>
  <c r="M256" i="5" s="1"/>
  <c r="L256" i="5" a="1"/>
  <c r="L256" i="5" s="1"/>
  <c r="K256" i="5" a="1"/>
  <c r="K256" i="5" s="1"/>
  <c r="J256" i="5" a="1"/>
  <c r="J256" i="5" s="1"/>
  <c r="I256" i="5" a="1"/>
  <c r="I256" i="5" s="1"/>
  <c r="H256" i="5"/>
  <c r="M255" i="5" a="1"/>
  <c r="M255" i="5" s="1"/>
  <c r="L255" i="5" a="1"/>
  <c r="L255" i="5" s="1"/>
  <c r="K255" i="5" a="1"/>
  <c r="K255" i="5" s="1"/>
  <c r="J255" i="5" a="1"/>
  <c r="J255" i="5" s="1"/>
  <c r="I255" i="5" a="1"/>
  <c r="I255" i="5" s="1"/>
  <c r="H255" i="5"/>
  <c r="M254" i="5" a="1"/>
  <c r="M254" i="5"/>
  <c r="L254" i="5" a="1"/>
  <c r="L254" i="5" s="1"/>
  <c r="K254" i="5" a="1"/>
  <c r="K254" i="5" s="1"/>
  <c r="J254" i="5" a="1"/>
  <c r="J254" i="5" s="1"/>
  <c r="I254" i="5" a="1"/>
  <c r="I254" i="5" s="1"/>
  <c r="H254" i="5"/>
  <c r="M253" i="5" a="1"/>
  <c r="M253" i="5" s="1"/>
  <c r="L253" i="5" a="1"/>
  <c r="L253" i="5" s="1"/>
  <c r="K253" i="5" a="1"/>
  <c r="K253" i="5" s="1"/>
  <c r="J253" i="5" a="1"/>
  <c r="J253" i="5" s="1"/>
  <c r="I253" i="5" a="1"/>
  <c r="I253" i="5" s="1"/>
  <c r="H253" i="5"/>
  <c r="M252" i="5" a="1"/>
  <c r="M252" i="5" s="1"/>
  <c r="L252" i="5" a="1"/>
  <c r="L252" i="5" s="1"/>
  <c r="K252" i="5" a="1"/>
  <c r="K252" i="5" s="1"/>
  <c r="J252" i="5" a="1"/>
  <c r="J252" i="5" s="1"/>
  <c r="I252" i="5" a="1"/>
  <c r="I252" i="5" s="1"/>
  <c r="H252" i="5"/>
  <c r="M251" i="5" a="1"/>
  <c r="M251" i="5" s="1"/>
  <c r="L251" i="5" a="1"/>
  <c r="L251" i="5"/>
  <c r="K251" i="5" a="1"/>
  <c r="K251" i="5" s="1"/>
  <c r="J251" i="5" a="1"/>
  <c r="J251" i="5"/>
  <c r="I251" i="5" a="1"/>
  <c r="I251" i="5" s="1"/>
  <c r="H251" i="5"/>
  <c r="M250" i="5" a="1"/>
  <c r="M250" i="5" s="1"/>
  <c r="L250" i="5" a="1"/>
  <c r="L250" i="5" s="1"/>
  <c r="K250" i="5" a="1"/>
  <c r="K250" i="5" s="1"/>
  <c r="J250" i="5" a="1"/>
  <c r="J250" i="5" s="1"/>
  <c r="I250" i="5" a="1"/>
  <c r="I250" i="5" s="1"/>
  <c r="H250" i="5"/>
  <c r="M249" i="5" a="1"/>
  <c r="M249" i="5" s="1"/>
  <c r="L249" i="5" a="1"/>
  <c r="L249" i="5" s="1"/>
  <c r="K249" i="5" a="1"/>
  <c r="K249" i="5" s="1"/>
  <c r="J249" i="5" a="1"/>
  <c r="J249" i="5" s="1"/>
  <c r="I249" i="5" a="1"/>
  <c r="I249" i="5" s="1"/>
  <c r="H249" i="5"/>
  <c r="M248" i="5" a="1"/>
  <c r="M248" i="5" s="1"/>
  <c r="L248" i="5" a="1"/>
  <c r="L248" i="5" s="1"/>
  <c r="K248" i="5" a="1"/>
  <c r="K248" i="5" s="1"/>
  <c r="J248" i="5" a="1"/>
  <c r="J248" i="5" s="1"/>
  <c r="I248" i="5" a="1"/>
  <c r="I248" i="5" s="1"/>
  <c r="H248" i="5"/>
  <c r="M247" i="5" a="1"/>
  <c r="M247" i="5" s="1"/>
  <c r="L247" i="5" a="1"/>
  <c r="L247" i="5" s="1"/>
  <c r="K247" i="5" a="1"/>
  <c r="K247" i="5" s="1"/>
  <c r="J247" i="5" a="1"/>
  <c r="J247" i="5" s="1"/>
  <c r="I247" i="5" a="1"/>
  <c r="I247" i="5" s="1"/>
  <c r="H247" i="5"/>
  <c r="M246" i="5" a="1"/>
  <c r="M246" i="5" s="1"/>
  <c r="L246" i="5" a="1"/>
  <c r="L246" i="5" s="1"/>
  <c r="K246" i="5" a="1"/>
  <c r="K246" i="5" s="1"/>
  <c r="J246" i="5" a="1"/>
  <c r="J246" i="5" s="1"/>
  <c r="I246" i="5" a="1"/>
  <c r="I246" i="5" s="1"/>
  <c r="H246" i="5"/>
  <c r="M245" i="5" a="1"/>
  <c r="M245" i="5" s="1"/>
  <c r="L245" i="5" a="1"/>
  <c r="L245" i="5" s="1"/>
  <c r="K245" i="5" a="1"/>
  <c r="K245" i="5" s="1"/>
  <c r="J245" i="5" a="1"/>
  <c r="J245" i="5" s="1"/>
  <c r="I245" i="5" a="1"/>
  <c r="I245" i="5" s="1"/>
  <c r="H245" i="5"/>
  <c r="M244" i="5" a="1"/>
  <c r="M244" i="5" s="1"/>
  <c r="L244" i="5" a="1"/>
  <c r="L244" i="5" s="1"/>
  <c r="K244" i="5" a="1"/>
  <c r="K244" i="5" s="1"/>
  <c r="J244" i="5" a="1"/>
  <c r="J244" i="5" s="1"/>
  <c r="I244" i="5" a="1"/>
  <c r="I244" i="5" s="1"/>
  <c r="H244" i="5"/>
  <c r="M243" i="5" a="1"/>
  <c r="M243" i="5" s="1"/>
  <c r="L243" i="5" a="1"/>
  <c r="L243" i="5" s="1"/>
  <c r="K243" i="5" a="1"/>
  <c r="K243" i="5" s="1"/>
  <c r="J243" i="5" a="1"/>
  <c r="J243" i="5" s="1"/>
  <c r="I243" i="5" a="1"/>
  <c r="I243" i="5" s="1"/>
  <c r="H243" i="5"/>
  <c r="M242" i="5" a="1"/>
  <c r="M242" i="5" s="1"/>
  <c r="L242" i="5" a="1"/>
  <c r="L242" i="5" s="1"/>
  <c r="K242" i="5" a="1"/>
  <c r="K242" i="5" s="1"/>
  <c r="J242" i="5" a="1"/>
  <c r="J242" i="5" s="1"/>
  <c r="I242" i="5" a="1"/>
  <c r="I242" i="5" s="1"/>
  <c r="H242" i="5"/>
  <c r="M241" i="5" a="1"/>
  <c r="M241" i="5" s="1"/>
  <c r="L241" i="5" a="1"/>
  <c r="L241" i="5" s="1"/>
  <c r="K241" i="5" a="1"/>
  <c r="K241" i="5" s="1"/>
  <c r="J241" i="5" a="1"/>
  <c r="J241" i="5" s="1"/>
  <c r="I241" i="5" a="1"/>
  <c r="I241" i="5" s="1"/>
  <c r="H241" i="5"/>
  <c r="M240" i="5" a="1"/>
  <c r="M240" i="5" s="1"/>
  <c r="L240" i="5" a="1"/>
  <c r="L240" i="5" s="1"/>
  <c r="K240" i="5" a="1"/>
  <c r="K240" i="5" s="1"/>
  <c r="J240" i="5" a="1"/>
  <c r="J240" i="5" s="1"/>
  <c r="I240" i="5" a="1"/>
  <c r="I240" i="5" s="1"/>
  <c r="H240" i="5"/>
  <c r="M239" i="5" a="1"/>
  <c r="M239" i="5" s="1"/>
  <c r="L239" i="5" a="1"/>
  <c r="L239" i="5" s="1"/>
  <c r="K239" i="5" a="1"/>
  <c r="K239" i="5" s="1"/>
  <c r="J239" i="5" a="1"/>
  <c r="J239" i="5" s="1"/>
  <c r="I239" i="5" a="1"/>
  <c r="I239" i="5" s="1"/>
  <c r="H239" i="5"/>
  <c r="M238" i="5" a="1"/>
  <c r="M238" i="5" s="1"/>
  <c r="L238" i="5" a="1"/>
  <c r="L238" i="5" s="1"/>
  <c r="K238" i="5" a="1"/>
  <c r="K238" i="5" s="1"/>
  <c r="J238" i="5" a="1"/>
  <c r="J238" i="5"/>
  <c r="I238" i="5" a="1"/>
  <c r="I238" i="5" s="1"/>
  <c r="H238" i="5"/>
  <c r="M237" i="5" a="1"/>
  <c r="M237" i="5" s="1"/>
  <c r="L237" i="5" a="1"/>
  <c r="L237" i="5" s="1"/>
  <c r="K237" i="5" a="1"/>
  <c r="K237" i="5" s="1"/>
  <c r="J237" i="5" a="1"/>
  <c r="J237" i="5" s="1"/>
  <c r="I237" i="5" a="1"/>
  <c r="I237" i="5" s="1"/>
  <c r="H237" i="5"/>
  <c r="M236" i="5" a="1"/>
  <c r="M236" i="5" s="1"/>
  <c r="L236" i="5" a="1"/>
  <c r="L236" i="5" s="1"/>
  <c r="K236" i="5" a="1"/>
  <c r="K236" i="5" s="1"/>
  <c r="J236" i="5" a="1"/>
  <c r="J236" i="5" s="1"/>
  <c r="I236" i="5" a="1"/>
  <c r="I236" i="5"/>
  <c r="H236" i="5"/>
  <c r="M235" i="5" a="1"/>
  <c r="M235" i="5" s="1"/>
  <c r="L235" i="5" a="1"/>
  <c r="L235" i="5" s="1"/>
  <c r="K235" i="5" a="1"/>
  <c r="K235" i="5" s="1"/>
  <c r="J235" i="5" a="1"/>
  <c r="J235" i="5" s="1"/>
  <c r="I235" i="5" a="1"/>
  <c r="I235" i="5" s="1"/>
  <c r="H235" i="5"/>
  <c r="M234" i="5" a="1"/>
  <c r="M234" i="5" s="1"/>
  <c r="L234" i="5" a="1"/>
  <c r="L234" i="5" s="1"/>
  <c r="K234" i="5" a="1"/>
  <c r="K234" i="5" s="1"/>
  <c r="J234" i="5" a="1"/>
  <c r="J234" i="5" s="1"/>
  <c r="I234" i="5" a="1"/>
  <c r="I234" i="5" s="1"/>
  <c r="H234" i="5"/>
  <c r="M233" i="5" a="1"/>
  <c r="M233" i="5" s="1"/>
  <c r="L233" i="5" a="1"/>
  <c r="L233" i="5" s="1"/>
  <c r="K233" i="5" a="1"/>
  <c r="K233" i="5" s="1"/>
  <c r="J233" i="5" a="1"/>
  <c r="J233" i="5" s="1"/>
  <c r="I233" i="5" a="1"/>
  <c r="I233" i="5" s="1"/>
  <c r="H233" i="5"/>
  <c r="M232" i="5" a="1"/>
  <c r="M232" i="5" s="1"/>
  <c r="L232" i="5" a="1"/>
  <c r="L232" i="5" s="1"/>
  <c r="K232" i="5" a="1"/>
  <c r="K232" i="5" s="1"/>
  <c r="J232" i="5" a="1"/>
  <c r="J232" i="5" s="1"/>
  <c r="I232" i="5" a="1"/>
  <c r="I232" i="5" s="1"/>
  <c r="H232" i="5"/>
  <c r="M231" i="5" a="1"/>
  <c r="M231" i="5" s="1"/>
  <c r="L231" i="5" a="1"/>
  <c r="L231" i="5" s="1"/>
  <c r="K231" i="5" a="1"/>
  <c r="K231" i="5" s="1"/>
  <c r="J231" i="5" a="1"/>
  <c r="J231" i="5" s="1"/>
  <c r="I231" i="5" a="1"/>
  <c r="I231" i="5" s="1"/>
  <c r="H231" i="5"/>
  <c r="M230" i="5" a="1"/>
  <c r="M230" i="5" s="1"/>
  <c r="L230" i="5" a="1"/>
  <c r="L230" i="5" s="1"/>
  <c r="K230" i="5" a="1"/>
  <c r="K230" i="5" s="1"/>
  <c r="J230" i="5" a="1"/>
  <c r="J230" i="5" s="1"/>
  <c r="I230" i="5" a="1"/>
  <c r="I230" i="5" s="1"/>
  <c r="H230" i="5"/>
  <c r="M229" i="5" a="1"/>
  <c r="M229" i="5" s="1"/>
  <c r="L229" i="5" a="1"/>
  <c r="L229" i="5" s="1"/>
  <c r="K229" i="5" a="1"/>
  <c r="K229" i="5" s="1"/>
  <c r="J229" i="5" a="1"/>
  <c r="J229" i="5" s="1"/>
  <c r="I229" i="5" a="1"/>
  <c r="I229" i="5" s="1"/>
  <c r="H229" i="5"/>
  <c r="M228" i="5" a="1"/>
  <c r="M228" i="5" s="1"/>
  <c r="L228" i="5" a="1"/>
  <c r="L228" i="5" s="1"/>
  <c r="K228" i="5" a="1"/>
  <c r="K228" i="5" s="1"/>
  <c r="J228" i="5" a="1"/>
  <c r="J228" i="5" s="1"/>
  <c r="I228" i="5" a="1"/>
  <c r="I228" i="5" s="1"/>
  <c r="H228" i="5"/>
  <c r="M227" i="5" a="1"/>
  <c r="M227" i="5" s="1"/>
  <c r="L227" i="5" a="1"/>
  <c r="L227" i="5" s="1"/>
  <c r="K227" i="5" a="1"/>
  <c r="K227" i="5" s="1"/>
  <c r="J227" i="5" a="1"/>
  <c r="J227" i="5" s="1"/>
  <c r="I227" i="5" a="1"/>
  <c r="I227" i="5" s="1"/>
  <c r="H227" i="5"/>
  <c r="M226" i="5" a="1"/>
  <c r="M226" i="5" s="1"/>
  <c r="L226" i="5" a="1"/>
  <c r="L226" i="5" s="1"/>
  <c r="K226" i="5" a="1"/>
  <c r="K226" i="5" s="1"/>
  <c r="J226" i="5" a="1"/>
  <c r="J226" i="5" s="1"/>
  <c r="I226" i="5" a="1"/>
  <c r="I226" i="5" s="1"/>
  <c r="H226" i="5"/>
  <c r="M225" i="5" a="1"/>
  <c r="M225" i="5"/>
  <c r="L225" i="5" a="1"/>
  <c r="L225" i="5" s="1"/>
  <c r="K225" i="5" a="1"/>
  <c r="K225" i="5" s="1"/>
  <c r="J225" i="5" a="1"/>
  <c r="J225" i="5" s="1"/>
  <c r="I225" i="5" a="1"/>
  <c r="I225" i="5" s="1"/>
  <c r="H225" i="5"/>
  <c r="M224" i="5" a="1"/>
  <c r="M224" i="5" s="1"/>
  <c r="L224" i="5" a="1"/>
  <c r="L224" i="5" s="1"/>
  <c r="K224" i="5" a="1"/>
  <c r="K224" i="5" s="1"/>
  <c r="J224" i="5" a="1"/>
  <c r="J224" i="5" s="1"/>
  <c r="I224" i="5" a="1"/>
  <c r="I224" i="5" s="1"/>
  <c r="H224" i="5"/>
  <c r="M223" i="5" a="1"/>
  <c r="M223" i="5" s="1"/>
  <c r="L223" i="5" a="1"/>
  <c r="L223" i="5" s="1"/>
  <c r="K223" i="5" a="1"/>
  <c r="K223" i="5" s="1"/>
  <c r="J223" i="5" a="1"/>
  <c r="J223" i="5" s="1"/>
  <c r="I223" i="5" a="1"/>
  <c r="I223" i="5" s="1"/>
  <c r="H223" i="5"/>
  <c r="M222" i="5" a="1"/>
  <c r="M222" i="5"/>
  <c r="L222" i="5" a="1"/>
  <c r="L222" i="5" s="1"/>
  <c r="K222" i="5" a="1"/>
  <c r="K222" i="5"/>
  <c r="J222" i="5" a="1"/>
  <c r="J222" i="5" s="1"/>
  <c r="I222" i="5" a="1"/>
  <c r="I222" i="5" s="1"/>
  <c r="H222" i="5"/>
  <c r="M221" i="5" a="1"/>
  <c r="M221" i="5" s="1"/>
  <c r="L221" i="5" a="1"/>
  <c r="L221" i="5"/>
  <c r="K221" i="5" a="1"/>
  <c r="K221" i="5" s="1"/>
  <c r="J221" i="5" a="1"/>
  <c r="J221" i="5" s="1"/>
  <c r="I221" i="5" a="1"/>
  <c r="I221" i="5" s="1"/>
  <c r="H221" i="5"/>
  <c r="M220" i="5" a="1"/>
  <c r="M220" i="5" s="1"/>
  <c r="L220" i="5" a="1"/>
  <c r="L220" i="5" s="1"/>
  <c r="K220" i="5" a="1"/>
  <c r="K220" i="5" s="1"/>
  <c r="J220" i="5" a="1"/>
  <c r="J220" i="5" s="1"/>
  <c r="I220" i="5" a="1"/>
  <c r="I220" i="5" s="1"/>
  <c r="H220" i="5"/>
  <c r="M219" i="5" a="1"/>
  <c r="M219" i="5" s="1"/>
  <c r="L219" i="5" a="1"/>
  <c r="L219" i="5" s="1"/>
  <c r="K219" i="5" a="1"/>
  <c r="K219" i="5" s="1"/>
  <c r="J219" i="5" a="1"/>
  <c r="J219" i="5" s="1"/>
  <c r="I219" i="5" a="1"/>
  <c r="I219" i="5" s="1"/>
  <c r="H219" i="5"/>
  <c r="M218" i="5" a="1"/>
  <c r="M218" i="5" s="1"/>
  <c r="L218" i="5" a="1"/>
  <c r="L218" i="5" s="1"/>
  <c r="K218" i="5" a="1"/>
  <c r="K218" i="5" s="1"/>
  <c r="J218" i="5" a="1"/>
  <c r="J218" i="5" s="1"/>
  <c r="I218" i="5" a="1"/>
  <c r="I218" i="5" s="1"/>
  <c r="H218" i="5"/>
  <c r="M217" i="5" a="1"/>
  <c r="M217" i="5" s="1"/>
  <c r="L217" i="5" a="1"/>
  <c r="L217" i="5" s="1"/>
  <c r="K217" i="5" a="1"/>
  <c r="K217" i="5" s="1"/>
  <c r="J217" i="5" a="1"/>
  <c r="J217" i="5"/>
  <c r="I217" i="5" a="1"/>
  <c r="I217" i="5" s="1"/>
  <c r="H217" i="5"/>
  <c r="M216" i="5" a="1"/>
  <c r="M216" i="5" s="1"/>
  <c r="L216" i="5" a="1"/>
  <c r="L216" i="5" s="1"/>
  <c r="K216" i="5" a="1"/>
  <c r="K216" i="5" s="1"/>
  <c r="J216" i="5" a="1"/>
  <c r="J216" i="5" s="1"/>
  <c r="I216" i="5" a="1"/>
  <c r="I216" i="5" s="1"/>
  <c r="H216" i="5"/>
  <c r="M215" i="5" a="1"/>
  <c r="M215" i="5" s="1"/>
  <c r="L215" i="5" a="1"/>
  <c r="L215" i="5" s="1"/>
  <c r="K215" i="5" a="1"/>
  <c r="K215" i="5" s="1"/>
  <c r="J215" i="5" a="1"/>
  <c r="J215" i="5" s="1"/>
  <c r="I215" i="5" a="1"/>
  <c r="I215" i="5" s="1"/>
  <c r="H215" i="5"/>
  <c r="M214" i="5" a="1"/>
  <c r="M214" i="5" s="1"/>
  <c r="L214" i="5" a="1"/>
  <c r="L214" i="5" s="1"/>
  <c r="K214" i="5" a="1"/>
  <c r="K214" i="5" s="1"/>
  <c r="J214" i="5" a="1"/>
  <c r="J214" i="5" s="1"/>
  <c r="I214" i="5" a="1"/>
  <c r="I214" i="5" s="1"/>
  <c r="H214" i="5"/>
  <c r="M213" i="5" a="1"/>
  <c r="M213" i="5" s="1"/>
  <c r="L213" i="5" a="1"/>
  <c r="L213" i="5" s="1"/>
  <c r="K213" i="5" a="1"/>
  <c r="K213" i="5" s="1"/>
  <c r="J213" i="5" a="1"/>
  <c r="J213" i="5" s="1"/>
  <c r="I213" i="5" a="1"/>
  <c r="I213" i="5" s="1"/>
  <c r="H213" i="5"/>
  <c r="M212" i="5" a="1"/>
  <c r="M212" i="5" s="1"/>
  <c r="L212" i="5" a="1"/>
  <c r="L212" i="5" s="1"/>
  <c r="K212" i="5" a="1"/>
  <c r="K212" i="5" s="1"/>
  <c r="J212" i="5" a="1"/>
  <c r="J212" i="5" s="1"/>
  <c r="I212" i="5" a="1"/>
  <c r="I212" i="5" s="1"/>
  <c r="H212" i="5"/>
  <c r="M211" i="5" a="1"/>
  <c r="M211" i="5" s="1"/>
  <c r="L211" i="5" a="1"/>
  <c r="L211" i="5" s="1"/>
  <c r="K211" i="5" a="1"/>
  <c r="K211" i="5" s="1"/>
  <c r="J211" i="5" a="1"/>
  <c r="J211" i="5" s="1"/>
  <c r="I211" i="5" a="1"/>
  <c r="I211" i="5"/>
  <c r="H211" i="5"/>
  <c r="M210" i="5" a="1"/>
  <c r="M210" i="5" s="1"/>
  <c r="L210" i="5" a="1"/>
  <c r="L210" i="5" s="1"/>
  <c r="K210" i="5" a="1"/>
  <c r="K210" i="5" s="1"/>
  <c r="J210" i="5" a="1"/>
  <c r="J210" i="5" s="1"/>
  <c r="I210" i="5" a="1"/>
  <c r="I210" i="5" s="1"/>
  <c r="H210" i="5"/>
  <c r="M209" i="5" a="1"/>
  <c r="M209" i="5" s="1"/>
  <c r="L209" i="5" a="1"/>
  <c r="L209" i="5" s="1"/>
  <c r="K209" i="5" a="1"/>
  <c r="K209" i="5" s="1"/>
  <c r="J209" i="5" a="1"/>
  <c r="J209" i="5" s="1"/>
  <c r="I209" i="5" a="1"/>
  <c r="I209" i="5" s="1"/>
  <c r="H209" i="5"/>
  <c r="M208" i="5" a="1"/>
  <c r="M208" i="5" s="1"/>
  <c r="L208" i="5" a="1"/>
  <c r="L208" i="5" s="1"/>
  <c r="K208" i="5" a="1"/>
  <c r="K208" i="5" s="1"/>
  <c r="J208" i="5" a="1"/>
  <c r="J208" i="5" s="1"/>
  <c r="I208" i="5" a="1"/>
  <c r="I208" i="5" s="1"/>
  <c r="H208" i="5"/>
  <c r="M207" i="5" a="1"/>
  <c r="M207" i="5" s="1"/>
  <c r="L207" i="5" a="1"/>
  <c r="L207" i="5" s="1"/>
  <c r="K207" i="5" a="1"/>
  <c r="K207" i="5" s="1"/>
  <c r="J207" i="5" a="1"/>
  <c r="J207" i="5" s="1"/>
  <c r="I207" i="5" a="1"/>
  <c r="I207" i="5" s="1"/>
  <c r="H207" i="5"/>
  <c r="M206" i="5" a="1"/>
  <c r="M206" i="5" s="1"/>
  <c r="L206" i="5" a="1"/>
  <c r="L206" i="5" s="1"/>
  <c r="K206" i="5" a="1"/>
  <c r="K206" i="5" s="1"/>
  <c r="J206" i="5" a="1"/>
  <c r="J206" i="5" s="1"/>
  <c r="I206" i="5" a="1"/>
  <c r="I206" i="5" s="1"/>
  <c r="H206" i="5"/>
  <c r="M205" i="5" a="1"/>
  <c r="M205" i="5" s="1"/>
  <c r="L205" i="5" a="1"/>
  <c r="L205" i="5" s="1"/>
  <c r="K205" i="5" a="1"/>
  <c r="K205" i="5" s="1"/>
  <c r="J205" i="5" a="1"/>
  <c r="J205" i="5" s="1"/>
  <c r="I205" i="5" a="1"/>
  <c r="I205" i="5" s="1"/>
  <c r="H205" i="5"/>
  <c r="M204" i="5" a="1"/>
  <c r="M204" i="5" s="1"/>
  <c r="L204" i="5" a="1"/>
  <c r="L204" i="5" s="1"/>
  <c r="K204" i="5" a="1"/>
  <c r="K204" i="5" s="1"/>
  <c r="J204" i="5" a="1"/>
  <c r="J204" i="5" s="1"/>
  <c r="I204" i="5" a="1"/>
  <c r="I204" i="5" s="1"/>
  <c r="H204" i="5"/>
  <c r="M203" i="5" a="1"/>
  <c r="M203" i="5" s="1"/>
  <c r="L203" i="5" a="1"/>
  <c r="L203" i="5" s="1"/>
  <c r="K203" i="5" a="1"/>
  <c r="K203" i="5" s="1"/>
  <c r="J203" i="5" a="1"/>
  <c r="J203" i="5" s="1"/>
  <c r="I203" i="5" a="1"/>
  <c r="I203" i="5" s="1"/>
  <c r="H203" i="5"/>
  <c r="M202" i="5" a="1"/>
  <c r="M202" i="5" s="1"/>
  <c r="L202" i="5" a="1"/>
  <c r="L202" i="5" s="1"/>
  <c r="K202" i="5" a="1"/>
  <c r="K202" i="5" s="1"/>
  <c r="J202" i="5" a="1"/>
  <c r="J202" i="5" s="1"/>
  <c r="I202" i="5" a="1"/>
  <c r="I202" i="5"/>
  <c r="H202" i="5"/>
  <c r="M201" i="5" a="1"/>
  <c r="M201" i="5" s="1"/>
  <c r="L201" i="5" a="1"/>
  <c r="L201" i="5" s="1"/>
  <c r="K201" i="5" a="1"/>
  <c r="K201" i="5" s="1"/>
  <c r="J201" i="5" a="1"/>
  <c r="J201" i="5" s="1"/>
  <c r="I201" i="5" a="1"/>
  <c r="I201" i="5" s="1"/>
  <c r="H201" i="5"/>
  <c r="M200" i="5" a="1"/>
  <c r="M200" i="5" s="1"/>
  <c r="L200" i="5" a="1"/>
  <c r="L200" i="5"/>
  <c r="K200" i="5" a="1"/>
  <c r="K200" i="5" s="1"/>
  <c r="J200" i="5" a="1"/>
  <c r="J200" i="5" s="1"/>
  <c r="I200" i="5" a="1"/>
  <c r="I200" i="5" s="1"/>
  <c r="H200" i="5"/>
  <c r="M199" i="5" a="1"/>
  <c r="M199" i="5" s="1"/>
  <c r="L199" i="5" a="1"/>
  <c r="L199" i="5" s="1"/>
  <c r="K199" i="5" a="1"/>
  <c r="K199" i="5" s="1"/>
  <c r="J199" i="5" a="1"/>
  <c r="J199" i="5" s="1"/>
  <c r="I199" i="5" a="1"/>
  <c r="I199" i="5" s="1"/>
  <c r="H199" i="5"/>
  <c r="M198" i="5" a="1"/>
  <c r="M198" i="5" s="1"/>
  <c r="L198" i="5" a="1"/>
  <c r="L198" i="5" s="1"/>
  <c r="K198" i="5" a="1"/>
  <c r="K198" i="5" s="1"/>
  <c r="J198" i="5" a="1"/>
  <c r="J198" i="5" s="1"/>
  <c r="I198" i="5" a="1"/>
  <c r="I198" i="5" s="1"/>
  <c r="H198" i="5"/>
  <c r="M197" i="5" a="1"/>
  <c r="M197" i="5" s="1"/>
  <c r="L197" i="5" a="1"/>
  <c r="L197" i="5" s="1"/>
  <c r="K197" i="5" a="1"/>
  <c r="K197" i="5" s="1"/>
  <c r="J197" i="5" a="1"/>
  <c r="J197" i="5" s="1"/>
  <c r="I197" i="5" a="1"/>
  <c r="I197" i="5" s="1"/>
  <c r="H197" i="5"/>
  <c r="M196" i="5" a="1"/>
  <c r="M196" i="5" s="1"/>
  <c r="L196" i="5" a="1"/>
  <c r="L196" i="5" s="1"/>
  <c r="K196" i="5" a="1"/>
  <c r="K196" i="5" s="1"/>
  <c r="J196" i="5" a="1"/>
  <c r="J196" i="5" s="1"/>
  <c r="I196" i="5" a="1"/>
  <c r="I196" i="5" s="1"/>
  <c r="H196" i="5"/>
  <c r="M195" i="5" a="1"/>
  <c r="M195" i="5"/>
  <c r="L195" i="5" a="1"/>
  <c r="L195" i="5" s="1"/>
  <c r="K195" i="5" a="1"/>
  <c r="K195" i="5" s="1"/>
  <c r="J195" i="5" a="1"/>
  <c r="J195" i="5" s="1"/>
  <c r="I195" i="5" a="1"/>
  <c r="I195" i="5" s="1"/>
  <c r="H195" i="5"/>
  <c r="M194" i="5" a="1"/>
  <c r="M194" i="5" s="1"/>
  <c r="L194" i="5" a="1"/>
  <c r="L194" i="5" s="1"/>
  <c r="K194" i="5" a="1"/>
  <c r="K194" i="5" s="1"/>
  <c r="J194" i="5" a="1"/>
  <c r="J194" i="5" s="1"/>
  <c r="I194" i="5" a="1"/>
  <c r="I194" i="5"/>
  <c r="H194" i="5"/>
  <c r="M193" i="5" a="1"/>
  <c r="M193" i="5" s="1"/>
  <c r="L193" i="5" a="1"/>
  <c r="L193" i="5" s="1"/>
  <c r="K193" i="5" a="1"/>
  <c r="K193" i="5" s="1"/>
  <c r="J193" i="5" a="1"/>
  <c r="J193" i="5"/>
  <c r="I193" i="5" a="1"/>
  <c r="I193" i="5" s="1"/>
  <c r="H193" i="5"/>
  <c r="M192" i="5" a="1"/>
  <c r="M192" i="5" s="1"/>
  <c r="L192" i="5" a="1"/>
  <c r="L192" i="5" s="1"/>
  <c r="K192" i="5" a="1"/>
  <c r="K192" i="5" s="1"/>
  <c r="J192" i="5" a="1"/>
  <c r="J192" i="5" s="1"/>
  <c r="I192" i="5" a="1"/>
  <c r="I192" i="5" s="1"/>
  <c r="H192" i="5"/>
  <c r="M191" i="5" a="1"/>
  <c r="M191" i="5" s="1"/>
  <c r="L191" i="5" a="1"/>
  <c r="L191" i="5" s="1"/>
  <c r="K191" i="5" a="1"/>
  <c r="K191" i="5" s="1"/>
  <c r="J191" i="5" a="1"/>
  <c r="J191" i="5" s="1"/>
  <c r="I191" i="5" a="1"/>
  <c r="I191" i="5" s="1"/>
  <c r="H191" i="5"/>
  <c r="M190" i="5" a="1"/>
  <c r="M190" i="5" s="1"/>
  <c r="L190" i="5" a="1"/>
  <c r="L190" i="5" s="1"/>
  <c r="K190" i="5" a="1"/>
  <c r="K190" i="5" s="1"/>
  <c r="J190" i="5" a="1"/>
  <c r="J190" i="5" s="1"/>
  <c r="I190" i="5" a="1"/>
  <c r="I190" i="5" s="1"/>
  <c r="H190" i="5"/>
  <c r="M189" i="5" a="1"/>
  <c r="M189" i="5" s="1"/>
  <c r="L189" i="5" a="1"/>
  <c r="L189" i="5" s="1"/>
  <c r="K189" i="5" a="1"/>
  <c r="K189" i="5"/>
  <c r="J189" i="5" a="1"/>
  <c r="J189" i="5" s="1"/>
  <c r="I189" i="5" a="1"/>
  <c r="I189" i="5" s="1"/>
  <c r="H189" i="5"/>
  <c r="M188" i="5" a="1"/>
  <c r="M188" i="5" s="1"/>
  <c r="L188" i="5" a="1"/>
  <c r="L188" i="5" s="1"/>
  <c r="K188" i="5" a="1"/>
  <c r="K188" i="5" s="1"/>
  <c r="J188" i="5" a="1"/>
  <c r="J188" i="5" s="1"/>
  <c r="I188" i="5" a="1"/>
  <c r="I188" i="5" s="1"/>
  <c r="H188" i="5"/>
  <c r="M187" i="5" a="1"/>
  <c r="M187" i="5" s="1"/>
  <c r="L187" i="5" a="1"/>
  <c r="L187" i="5" s="1"/>
  <c r="K187" i="5" a="1"/>
  <c r="K187" i="5" s="1"/>
  <c r="J187" i="5" a="1"/>
  <c r="J187" i="5" s="1"/>
  <c r="I187" i="5" a="1"/>
  <c r="I187" i="5" s="1"/>
  <c r="H187" i="5"/>
  <c r="M186" i="5" a="1"/>
  <c r="M186" i="5" s="1"/>
  <c r="L186" i="5" a="1"/>
  <c r="L186" i="5" s="1"/>
  <c r="K186" i="5" a="1"/>
  <c r="K186" i="5" s="1"/>
  <c r="J186" i="5" a="1"/>
  <c r="J186" i="5" s="1"/>
  <c r="I186" i="5" a="1"/>
  <c r="I186" i="5" s="1"/>
  <c r="H186" i="5"/>
  <c r="M185" i="5" a="1"/>
  <c r="M185" i="5" s="1"/>
  <c r="L185" i="5" a="1"/>
  <c r="L185" i="5" s="1"/>
  <c r="K185" i="5" a="1"/>
  <c r="K185" i="5" s="1"/>
  <c r="J185" i="5" a="1"/>
  <c r="J185" i="5" s="1"/>
  <c r="I185" i="5" a="1"/>
  <c r="I185" i="5" s="1"/>
  <c r="H185" i="5"/>
  <c r="M184" i="5" a="1"/>
  <c r="M184" i="5" s="1"/>
  <c r="L184" i="5" a="1"/>
  <c r="L184" i="5"/>
  <c r="K184" i="5" a="1"/>
  <c r="K184" i="5" s="1"/>
  <c r="J184" i="5" a="1"/>
  <c r="J184" i="5" s="1"/>
  <c r="I184" i="5" a="1"/>
  <c r="I184" i="5" s="1"/>
  <c r="H184" i="5"/>
  <c r="M183" i="5" a="1"/>
  <c r="M183" i="5" s="1"/>
  <c r="L183" i="5" a="1"/>
  <c r="L183" i="5" s="1"/>
  <c r="K183" i="5" a="1"/>
  <c r="K183" i="5" s="1"/>
  <c r="J183" i="5" a="1"/>
  <c r="J183" i="5" s="1"/>
  <c r="I183" i="5" a="1"/>
  <c r="I183" i="5" s="1"/>
  <c r="H183" i="5"/>
  <c r="M182" i="5" a="1"/>
  <c r="M182" i="5" s="1"/>
  <c r="L182" i="5" a="1"/>
  <c r="L182" i="5"/>
  <c r="K182" i="5" a="1"/>
  <c r="K182" i="5" s="1"/>
  <c r="J182" i="5" a="1"/>
  <c r="J182" i="5" s="1"/>
  <c r="I182" i="5" a="1"/>
  <c r="I182" i="5" s="1"/>
  <c r="H182" i="5"/>
  <c r="M181" i="5" a="1"/>
  <c r="M181" i="5" s="1"/>
  <c r="L181" i="5" a="1"/>
  <c r="L181" i="5" s="1"/>
  <c r="K181" i="5" a="1"/>
  <c r="K181" i="5" s="1"/>
  <c r="J181" i="5" a="1"/>
  <c r="J181" i="5" s="1"/>
  <c r="I181" i="5" a="1"/>
  <c r="I181" i="5" s="1"/>
  <c r="H181" i="5"/>
  <c r="M180" i="5" a="1"/>
  <c r="M180" i="5"/>
  <c r="L180" i="5" a="1"/>
  <c r="L180" i="5" s="1"/>
  <c r="K180" i="5" a="1"/>
  <c r="K180" i="5" s="1"/>
  <c r="J180" i="5" a="1"/>
  <c r="J180" i="5" s="1"/>
  <c r="I180" i="5" a="1"/>
  <c r="I180" i="5" s="1"/>
  <c r="H180" i="5"/>
  <c r="M179" i="5" a="1"/>
  <c r="M179" i="5" s="1"/>
  <c r="L179" i="5" a="1"/>
  <c r="L179" i="5" s="1"/>
  <c r="K179" i="5" a="1"/>
  <c r="K179" i="5" s="1"/>
  <c r="J179" i="5" a="1"/>
  <c r="J179" i="5" s="1"/>
  <c r="I179" i="5" a="1"/>
  <c r="I179" i="5" s="1"/>
  <c r="H179" i="5"/>
  <c r="M178" i="5" a="1"/>
  <c r="M178" i="5" s="1"/>
  <c r="L178" i="5" a="1"/>
  <c r="L178" i="5" s="1"/>
  <c r="K178" i="5" a="1"/>
  <c r="K178" i="5" s="1"/>
  <c r="J178" i="5" a="1"/>
  <c r="J178" i="5" s="1"/>
  <c r="I178" i="5" a="1"/>
  <c r="I178" i="5" s="1"/>
  <c r="H178" i="5"/>
  <c r="M177" i="5" a="1"/>
  <c r="M177" i="5" s="1"/>
  <c r="L177" i="5" a="1"/>
  <c r="L177" i="5" s="1"/>
  <c r="K177" i="5" a="1"/>
  <c r="K177" i="5" s="1"/>
  <c r="J177" i="5" a="1"/>
  <c r="J177" i="5" s="1"/>
  <c r="I177" i="5" a="1"/>
  <c r="I177" i="5"/>
  <c r="H177" i="5"/>
  <c r="M176" i="5" a="1"/>
  <c r="M176" i="5" s="1"/>
  <c r="L176" i="5" a="1"/>
  <c r="L176" i="5" s="1"/>
  <c r="K176" i="5" a="1"/>
  <c r="K176" i="5" s="1"/>
  <c r="J176" i="5" a="1"/>
  <c r="J176" i="5" s="1"/>
  <c r="I176" i="5" a="1"/>
  <c r="I176" i="5" s="1"/>
  <c r="H176" i="5"/>
  <c r="M175" i="5" a="1"/>
  <c r="M175" i="5" s="1"/>
  <c r="L175" i="5" a="1"/>
  <c r="L175" i="5" s="1"/>
  <c r="K175" i="5" a="1"/>
  <c r="K175" i="5" s="1"/>
  <c r="J175" i="5" a="1"/>
  <c r="J175" i="5" s="1"/>
  <c r="I175" i="5" a="1"/>
  <c r="I175" i="5" s="1"/>
  <c r="H175" i="5"/>
  <c r="M174" i="5" a="1"/>
  <c r="M174" i="5" s="1"/>
  <c r="L174" i="5" a="1"/>
  <c r="L174" i="5" s="1"/>
  <c r="K174" i="5" a="1"/>
  <c r="K174" i="5" s="1"/>
  <c r="J174" i="5" a="1"/>
  <c r="J174" i="5" s="1"/>
  <c r="I174" i="5" a="1"/>
  <c r="I174" i="5" s="1"/>
  <c r="H174" i="5"/>
  <c r="M173" i="5" a="1"/>
  <c r="M173" i="5" s="1"/>
  <c r="L173" i="5" a="1"/>
  <c r="L173" i="5" s="1"/>
  <c r="K173" i="5" a="1"/>
  <c r="K173" i="5" s="1"/>
  <c r="J173" i="5" a="1"/>
  <c r="J173" i="5" s="1"/>
  <c r="I173" i="5" a="1"/>
  <c r="I173" i="5" s="1"/>
  <c r="H173" i="5"/>
  <c r="M172" i="5" a="1"/>
  <c r="M172" i="5" s="1"/>
  <c r="L172" i="5" a="1"/>
  <c r="L172" i="5" s="1"/>
  <c r="K172" i="5" a="1"/>
  <c r="K172" i="5" s="1"/>
  <c r="J172" i="5" a="1"/>
  <c r="J172" i="5" s="1"/>
  <c r="I172" i="5" a="1"/>
  <c r="I172" i="5" s="1"/>
  <c r="H172" i="5"/>
  <c r="M171" i="5" a="1"/>
  <c r="M171" i="5" s="1"/>
  <c r="L171" i="5" a="1"/>
  <c r="L171" i="5" s="1"/>
  <c r="K171" i="5" a="1"/>
  <c r="K171" i="5" s="1"/>
  <c r="J171" i="5" a="1"/>
  <c r="J171" i="5" s="1"/>
  <c r="I171" i="5" a="1"/>
  <c r="I171" i="5" s="1"/>
  <c r="H171" i="5"/>
  <c r="M170" i="5" a="1"/>
  <c r="M170" i="5" s="1"/>
  <c r="L170" i="5" a="1"/>
  <c r="L170" i="5" s="1"/>
  <c r="K170" i="5" a="1"/>
  <c r="K170" i="5" s="1"/>
  <c r="J170" i="5" a="1"/>
  <c r="J170" i="5" s="1"/>
  <c r="I170" i="5" a="1"/>
  <c r="I170" i="5" s="1"/>
  <c r="H170" i="5"/>
  <c r="M169" i="5" a="1"/>
  <c r="M169" i="5"/>
  <c r="L169" i="5" a="1"/>
  <c r="L169" i="5" s="1"/>
  <c r="K169" i="5" a="1"/>
  <c r="K169" i="5" s="1"/>
  <c r="J169" i="5" a="1"/>
  <c r="J169" i="5" s="1"/>
  <c r="I169" i="5" a="1"/>
  <c r="I169" i="5" s="1"/>
  <c r="H169" i="5"/>
  <c r="M168" i="5" a="1"/>
  <c r="M168" i="5" s="1"/>
  <c r="L168" i="5" a="1"/>
  <c r="L168" i="5" s="1"/>
  <c r="K168" i="5" a="1"/>
  <c r="K168" i="5" s="1"/>
  <c r="J168" i="5" a="1"/>
  <c r="J168" i="5" s="1"/>
  <c r="I168" i="5" a="1"/>
  <c r="I168" i="5" s="1"/>
  <c r="H168" i="5"/>
  <c r="M167" i="5" a="1"/>
  <c r="M167" i="5" s="1"/>
  <c r="L167" i="5" a="1"/>
  <c r="L167" i="5" s="1"/>
  <c r="K167" i="5" a="1"/>
  <c r="K167" i="5" s="1"/>
  <c r="J167" i="5" a="1"/>
  <c r="J167" i="5" s="1"/>
  <c r="I167" i="5" a="1"/>
  <c r="I167" i="5" s="1"/>
  <c r="H167" i="5"/>
  <c r="M166" i="5" a="1"/>
  <c r="M166" i="5" s="1"/>
  <c r="L166" i="5" a="1"/>
  <c r="L166" i="5" s="1"/>
  <c r="K166" i="5" a="1"/>
  <c r="K166" i="5" s="1"/>
  <c r="J166" i="5" a="1"/>
  <c r="J166" i="5" s="1"/>
  <c r="I166" i="5" a="1"/>
  <c r="I166" i="5" s="1"/>
  <c r="H166" i="5"/>
  <c r="M165" i="5" a="1"/>
  <c r="M165" i="5" s="1"/>
  <c r="L165" i="5" a="1"/>
  <c r="L165" i="5" s="1"/>
  <c r="K165" i="5" a="1"/>
  <c r="K165" i="5" s="1"/>
  <c r="J165" i="5" a="1"/>
  <c r="J165" i="5" s="1"/>
  <c r="I165" i="5" a="1"/>
  <c r="I165" i="5" s="1"/>
  <c r="H165" i="5"/>
  <c r="M164" i="5" a="1"/>
  <c r="M164" i="5" s="1"/>
  <c r="L164" i="5" a="1"/>
  <c r="L164" i="5" s="1"/>
  <c r="K164" i="5" a="1"/>
  <c r="K164" i="5" s="1"/>
  <c r="J164" i="5" a="1"/>
  <c r="J164" i="5" s="1"/>
  <c r="I164" i="5" a="1"/>
  <c r="I164" i="5" s="1"/>
  <c r="H164" i="5"/>
  <c r="M163" i="5" a="1"/>
  <c r="M163" i="5" s="1"/>
  <c r="L163" i="5" a="1"/>
  <c r="L163" i="5" s="1"/>
  <c r="K163" i="5" a="1"/>
  <c r="K163" i="5" s="1"/>
  <c r="J163" i="5" a="1"/>
  <c r="J163" i="5" s="1"/>
  <c r="I163" i="5" a="1"/>
  <c r="I163" i="5" s="1"/>
  <c r="H163" i="5"/>
  <c r="M162" i="5" a="1"/>
  <c r="M162" i="5" s="1"/>
  <c r="L162" i="5" a="1"/>
  <c r="L162" i="5" s="1"/>
  <c r="K162" i="5" a="1"/>
  <c r="K162" i="5" s="1"/>
  <c r="J162" i="5" a="1"/>
  <c r="J162" i="5" s="1"/>
  <c r="I162" i="5" a="1"/>
  <c r="I162" i="5" s="1"/>
  <c r="H162" i="5"/>
  <c r="M161" i="5" a="1"/>
  <c r="M161" i="5" s="1"/>
  <c r="L161" i="5" a="1"/>
  <c r="L161" i="5" s="1"/>
  <c r="K161" i="5" a="1"/>
  <c r="K161" i="5" s="1"/>
  <c r="J161" i="5" a="1"/>
  <c r="J161" i="5" s="1"/>
  <c r="I161" i="5" a="1"/>
  <c r="I161" i="5" s="1"/>
  <c r="H161" i="5"/>
  <c r="M160" i="5" a="1"/>
  <c r="M160" i="5" s="1"/>
  <c r="L160" i="5" a="1"/>
  <c r="L160" i="5" s="1"/>
  <c r="K160" i="5" a="1"/>
  <c r="K160" i="5" s="1"/>
  <c r="J160" i="5" a="1"/>
  <c r="J160" i="5" s="1"/>
  <c r="I160" i="5" a="1"/>
  <c r="I160" i="5" s="1"/>
  <c r="H160" i="5"/>
  <c r="M159" i="5" a="1"/>
  <c r="M159" i="5" s="1"/>
  <c r="L159" i="5" a="1"/>
  <c r="L159" i="5" s="1"/>
  <c r="K159" i="5" a="1"/>
  <c r="K159" i="5"/>
  <c r="J159" i="5" a="1"/>
  <c r="J159" i="5" s="1"/>
  <c r="I159" i="5" a="1"/>
  <c r="I159" i="5" s="1"/>
  <c r="H159" i="5"/>
  <c r="M158" i="5" a="1"/>
  <c r="M158" i="5" s="1"/>
  <c r="L158" i="5" a="1"/>
  <c r="L158" i="5" s="1"/>
  <c r="K158" i="5" a="1"/>
  <c r="K158" i="5" s="1"/>
  <c r="J158" i="5" a="1"/>
  <c r="J158" i="5" s="1"/>
  <c r="I158" i="5" a="1"/>
  <c r="I158" i="5" s="1"/>
  <c r="H158" i="5"/>
  <c r="M157" i="5" a="1"/>
  <c r="M157" i="5" s="1"/>
  <c r="L157" i="5" a="1"/>
  <c r="L157" i="5" s="1"/>
  <c r="K157" i="5" a="1"/>
  <c r="K157" i="5" s="1"/>
  <c r="J157" i="5" a="1"/>
  <c r="J157" i="5" s="1"/>
  <c r="I157" i="5" a="1"/>
  <c r="I157" i="5" s="1"/>
  <c r="H157" i="5"/>
  <c r="M156" i="5" a="1"/>
  <c r="M156" i="5" s="1"/>
  <c r="L156" i="5" a="1"/>
  <c r="L156" i="5" s="1"/>
  <c r="K156" i="5" a="1"/>
  <c r="K156" i="5" s="1"/>
  <c r="J156" i="5" a="1"/>
  <c r="J156" i="5" s="1"/>
  <c r="I156" i="5" a="1"/>
  <c r="I156" i="5" s="1"/>
  <c r="H156" i="5"/>
  <c r="M155" i="5" a="1"/>
  <c r="M155" i="5" s="1"/>
  <c r="L155" i="5" a="1"/>
  <c r="L155" i="5" s="1"/>
  <c r="K155" i="5" a="1"/>
  <c r="K155" i="5" s="1"/>
  <c r="J155" i="5" a="1"/>
  <c r="J155" i="5" s="1"/>
  <c r="I155" i="5" a="1"/>
  <c r="I155" i="5" s="1"/>
  <c r="H155" i="5"/>
  <c r="M154" i="5" a="1"/>
  <c r="M154" i="5" s="1"/>
  <c r="L154" i="5" a="1"/>
  <c r="L154" i="5" s="1"/>
  <c r="K154" i="5" a="1"/>
  <c r="K154" i="5"/>
  <c r="J154" i="5" a="1"/>
  <c r="J154" i="5"/>
  <c r="I154" i="5" a="1"/>
  <c r="I154" i="5" s="1"/>
  <c r="H154" i="5"/>
  <c r="M153" i="5" a="1"/>
  <c r="M153" i="5" s="1"/>
  <c r="L153" i="5" a="1"/>
  <c r="L153" i="5" s="1"/>
  <c r="K153" i="5" a="1"/>
  <c r="K153" i="5" s="1"/>
  <c r="J153" i="5" a="1"/>
  <c r="J153" i="5" s="1"/>
  <c r="I153" i="5" a="1"/>
  <c r="I153" i="5" s="1"/>
  <c r="H153" i="5"/>
  <c r="M152" i="5" a="1"/>
  <c r="M152" i="5" s="1"/>
  <c r="L152" i="5" a="1"/>
  <c r="L152" i="5" s="1"/>
  <c r="K152" i="5" a="1"/>
  <c r="K152" i="5" s="1"/>
  <c r="J152" i="5" a="1"/>
  <c r="J152" i="5" s="1"/>
  <c r="I152" i="5" a="1"/>
  <c r="I152" i="5" s="1"/>
  <c r="H152" i="5"/>
  <c r="M151" i="5" a="1"/>
  <c r="M151" i="5" s="1"/>
  <c r="L151" i="5" a="1"/>
  <c r="L151" i="5" s="1"/>
  <c r="K151" i="5" a="1"/>
  <c r="K151" i="5" s="1"/>
  <c r="J151" i="5" a="1"/>
  <c r="J151" i="5" s="1"/>
  <c r="I151" i="5" a="1"/>
  <c r="I151" i="5" s="1"/>
  <c r="H151" i="5"/>
  <c r="M150" i="5" a="1"/>
  <c r="M150" i="5" s="1"/>
  <c r="L150" i="5" a="1"/>
  <c r="L150" i="5" s="1"/>
  <c r="K150" i="5" a="1"/>
  <c r="K150" i="5"/>
  <c r="J150" i="5" a="1"/>
  <c r="J150" i="5" s="1"/>
  <c r="I150" i="5" a="1"/>
  <c r="I150" i="5" s="1"/>
  <c r="H150" i="5"/>
  <c r="M149" i="5" a="1"/>
  <c r="M149" i="5" s="1"/>
  <c r="L149" i="5" a="1"/>
  <c r="L149" i="5" s="1"/>
  <c r="K149" i="5" a="1"/>
  <c r="K149" i="5" s="1"/>
  <c r="J149" i="5" a="1"/>
  <c r="J149" i="5" s="1"/>
  <c r="I149" i="5" a="1"/>
  <c r="I149" i="5" s="1"/>
  <c r="H149" i="5"/>
  <c r="M148" i="5" a="1"/>
  <c r="M148" i="5" s="1"/>
  <c r="L148" i="5" a="1"/>
  <c r="L148" i="5" s="1"/>
  <c r="K148" i="5" a="1"/>
  <c r="K148" i="5" s="1"/>
  <c r="J148" i="5" a="1"/>
  <c r="J148" i="5" s="1"/>
  <c r="I148" i="5" a="1"/>
  <c r="I148" i="5" s="1"/>
  <c r="H148" i="5"/>
  <c r="M147" i="5" a="1"/>
  <c r="M147" i="5" s="1"/>
  <c r="L147" i="5" a="1"/>
  <c r="L147" i="5" s="1"/>
  <c r="K147" i="5" a="1"/>
  <c r="K147" i="5" s="1"/>
  <c r="J147" i="5" a="1"/>
  <c r="J147" i="5" s="1"/>
  <c r="I147" i="5" a="1"/>
  <c r="I147" i="5" s="1"/>
  <c r="H147" i="5"/>
  <c r="M146" i="5" a="1"/>
  <c r="M146" i="5" s="1"/>
  <c r="L146" i="5" a="1"/>
  <c r="L146" i="5" s="1"/>
  <c r="K146" i="5" a="1"/>
  <c r="K146" i="5" s="1"/>
  <c r="J146" i="5" a="1"/>
  <c r="J146" i="5" s="1"/>
  <c r="I146" i="5" a="1"/>
  <c r="I146" i="5" s="1"/>
  <c r="H146" i="5"/>
  <c r="M145" i="5" a="1"/>
  <c r="M145" i="5"/>
  <c r="L145" i="5" a="1"/>
  <c r="L145" i="5" s="1"/>
  <c r="K145" i="5" a="1"/>
  <c r="K145" i="5" s="1"/>
  <c r="J145" i="5" a="1"/>
  <c r="J145" i="5"/>
  <c r="I145" i="5" a="1"/>
  <c r="I145" i="5" s="1"/>
  <c r="H145" i="5"/>
  <c r="M144" i="5" a="1"/>
  <c r="M144" i="5" s="1"/>
  <c r="L144" i="5" a="1"/>
  <c r="L144" i="5" s="1"/>
  <c r="K144" i="5" a="1"/>
  <c r="K144" i="5" s="1"/>
  <c r="J144" i="5" a="1"/>
  <c r="J144" i="5" s="1"/>
  <c r="I144" i="5" a="1"/>
  <c r="I144" i="5" s="1"/>
  <c r="H144" i="5"/>
  <c r="M143" i="5" a="1"/>
  <c r="M143" i="5" s="1"/>
  <c r="L143" i="5" a="1"/>
  <c r="L143" i="5" s="1"/>
  <c r="K143" i="5" a="1"/>
  <c r="K143" i="5" s="1"/>
  <c r="J143" i="5" a="1"/>
  <c r="J143" i="5" s="1"/>
  <c r="I143" i="5" a="1"/>
  <c r="I143" i="5" s="1"/>
  <c r="H143" i="5"/>
  <c r="M142" i="5" a="1"/>
  <c r="M142" i="5" s="1"/>
  <c r="L142" i="5" a="1"/>
  <c r="L142" i="5" s="1"/>
  <c r="K142" i="5" a="1"/>
  <c r="K142" i="5" s="1"/>
  <c r="J142" i="5" a="1"/>
  <c r="J142" i="5" s="1"/>
  <c r="I142" i="5" a="1"/>
  <c r="I142" i="5" s="1"/>
  <c r="H142" i="5"/>
  <c r="M141" i="5" a="1"/>
  <c r="M141" i="5" s="1"/>
  <c r="L141" i="5" a="1"/>
  <c r="L141" i="5" s="1"/>
  <c r="K141" i="5" a="1"/>
  <c r="K141" i="5" s="1"/>
  <c r="J141" i="5" a="1"/>
  <c r="J141" i="5" s="1"/>
  <c r="I141" i="5" a="1"/>
  <c r="I141" i="5" s="1"/>
  <c r="H141" i="5"/>
  <c r="M140" i="5" a="1"/>
  <c r="M140" i="5" s="1"/>
  <c r="L140" i="5" a="1"/>
  <c r="L140" i="5" s="1"/>
  <c r="K140" i="5" a="1"/>
  <c r="K140" i="5" s="1"/>
  <c r="J140" i="5" a="1"/>
  <c r="J140" i="5" s="1"/>
  <c r="I140" i="5" a="1"/>
  <c r="I140" i="5" s="1"/>
  <c r="H140" i="5"/>
  <c r="M139" i="5" a="1"/>
  <c r="M139" i="5" s="1"/>
  <c r="L139" i="5" a="1"/>
  <c r="L139" i="5" s="1"/>
  <c r="K139" i="5" a="1"/>
  <c r="K139" i="5" s="1"/>
  <c r="J139" i="5" a="1"/>
  <c r="J139" i="5" s="1"/>
  <c r="I139" i="5" a="1"/>
  <c r="I139" i="5" s="1"/>
  <c r="H139" i="5"/>
  <c r="M138" i="5" a="1"/>
  <c r="M138" i="5" s="1"/>
  <c r="L138" i="5" a="1"/>
  <c r="L138" i="5" s="1"/>
  <c r="K138" i="5" a="1"/>
  <c r="K138" i="5" s="1"/>
  <c r="J138" i="5" a="1"/>
  <c r="J138" i="5" s="1"/>
  <c r="I138" i="5" a="1"/>
  <c r="I138" i="5" s="1"/>
  <c r="H138" i="5"/>
  <c r="M137" i="5" a="1"/>
  <c r="M137" i="5" s="1"/>
  <c r="L137" i="5" a="1"/>
  <c r="L137" i="5" s="1"/>
  <c r="K137" i="5" a="1"/>
  <c r="K137" i="5" s="1"/>
  <c r="J137" i="5" a="1"/>
  <c r="J137" i="5" s="1"/>
  <c r="I137" i="5" a="1"/>
  <c r="I137" i="5" s="1"/>
  <c r="H137" i="5"/>
  <c r="M136" i="5" a="1"/>
  <c r="M136" i="5" s="1"/>
  <c r="L136" i="5" a="1"/>
  <c r="L136" i="5" s="1"/>
  <c r="K136" i="5" a="1"/>
  <c r="K136" i="5" s="1"/>
  <c r="J136" i="5" a="1"/>
  <c r="J136" i="5" s="1"/>
  <c r="I136" i="5" a="1"/>
  <c r="I136" i="5" s="1"/>
  <c r="H136" i="5"/>
  <c r="M135" i="5" a="1"/>
  <c r="M135" i="5" s="1"/>
  <c r="L135" i="5" a="1"/>
  <c r="L135" i="5" s="1"/>
  <c r="K135" i="5" a="1"/>
  <c r="K135" i="5" s="1"/>
  <c r="J135" i="5" a="1"/>
  <c r="J135" i="5" s="1"/>
  <c r="I135" i="5" a="1"/>
  <c r="I135" i="5" s="1"/>
  <c r="H135" i="5"/>
  <c r="M134" i="5" a="1"/>
  <c r="M134" i="5"/>
  <c r="L134" i="5" a="1"/>
  <c r="L134" i="5" s="1"/>
  <c r="K134" i="5" a="1"/>
  <c r="K134" i="5" s="1"/>
  <c r="J134" i="5" a="1"/>
  <c r="J134" i="5" s="1"/>
  <c r="I134" i="5" a="1"/>
  <c r="I134" i="5" s="1"/>
  <c r="H134" i="5"/>
  <c r="M133" i="5" a="1"/>
  <c r="M133" i="5" s="1"/>
  <c r="L133" i="5" a="1"/>
  <c r="L133" i="5" s="1"/>
  <c r="K133" i="5" a="1"/>
  <c r="K133" i="5" s="1"/>
  <c r="J133" i="5" a="1"/>
  <c r="J133" i="5" s="1"/>
  <c r="I133" i="5" a="1"/>
  <c r="I133" i="5" s="1"/>
  <c r="H133" i="5"/>
  <c r="M132" i="5" a="1"/>
  <c r="M132" i="5" s="1"/>
  <c r="L132" i="5" a="1"/>
  <c r="L132" i="5" s="1"/>
  <c r="K132" i="5" a="1"/>
  <c r="K132" i="5" s="1"/>
  <c r="J132" i="5" a="1"/>
  <c r="J132" i="5" s="1"/>
  <c r="I132" i="5" a="1"/>
  <c r="I132" i="5" s="1"/>
  <c r="H132" i="5"/>
  <c r="M131" i="5" a="1"/>
  <c r="M131" i="5" s="1"/>
  <c r="L131" i="5" a="1"/>
  <c r="L131" i="5" s="1"/>
  <c r="K131" i="5" a="1"/>
  <c r="K131" i="5" s="1"/>
  <c r="J131" i="5" a="1"/>
  <c r="J131" i="5" s="1"/>
  <c r="I131" i="5" a="1"/>
  <c r="I131" i="5" s="1"/>
  <c r="H131" i="5"/>
  <c r="M130" i="5" a="1"/>
  <c r="M130" i="5"/>
  <c r="L130" i="5" a="1"/>
  <c r="L130" i="5" s="1"/>
  <c r="K130" i="5" a="1"/>
  <c r="K130" i="5" s="1"/>
  <c r="J130" i="5" a="1"/>
  <c r="J130" i="5" s="1"/>
  <c r="I130" i="5" a="1"/>
  <c r="I130" i="5" s="1"/>
  <c r="H130" i="5"/>
  <c r="M129" i="5" a="1"/>
  <c r="M129" i="5" s="1"/>
  <c r="L129" i="5" a="1"/>
  <c r="L129" i="5" s="1"/>
  <c r="K129" i="5" a="1"/>
  <c r="K129" i="5" s="1"/>
  <c r="J129" i="5" a="1"/>
  <c r="J129" i="5" s="1"/>
  <c r="I129" i="5" a="1"/>
  <c r="I129" i="5" s="1"/>
  <c r="H129" i="5"/>
  <c r="M128" i="5" a="1"/>
  <c r="M128" i="5" s="1"/>
  <c r="L128" i="5" a="1"/>
  <c r="L128" i="5" s="1"/>
  <c r="K128" i="5" a="1"/>
  <c r="K128" i="5" s="1"/>
  <c r="J128" i="5" a="1"/>
  <c r="J128" i="5" s="1"/>
  <c r="I128" i="5" a="1"/>
  <c r="I128" i="5" s="1"/>
  <c r="H128" i="5"/>
  <c r="M127" i="5" a="1"/>
  <c r="M127" i="5" s="1"/>
  <c r="L127" i="5" a="1"/>
  <c r="L127" i="5" s="1"/>
  <c r="K127" i="5" a="1"/>
  <c r="K127" i="5" s="1"/>
  <c r="J127" i="5" a="1"/>
  <c r="J127" i="5" s="1"/>
  <c r="I127" i="5" a="1"/>
  <c r="I127" i="5" s="1"/>
  <c r="H127" i="5"/>
  <c r="M126" i="5" a="1"/>
  <c r="M126" i="5" s="1"/>
  <c r="L126" i="5" a="1"/>
  <c r="L126" i="5" s="1"/>
  <c r="K126" i="5" a="1"/>
  <c r="K126" i="5" s="1"/>
  <c r="J126" i="5" a="1"/>
  <c r="J126" i="5" s="1"/>
  <c r="I126" i="5" a="1"/>
  <c r="I126" i="5" s="1"/>
  <c r="H126" i="5"/>
  <c r="M125" i="5" a="1"/>
  <c r="M125" i="5" s="1"/>
  <c r="L125" i="5" a="1"/>
  <c r="L125" i="5" s="1"/>
  <c r="K125" i="5" a="1"/>
  <c r="K125" i="5" s="1"/>
  <c r="J125" i="5" a="1"/>
  <c r="J125" i="5" s="1"/>
  <c r="I125" i="5" a="1"/>
  <c r="I125" i="5" s="1"/>
  <c r="H125" i="5"/>
  <c r="M124" i="5" a="1"/>
  <c r="M124" i="5" s="1"/>
  <c r="L124" i="5" a="1"/>
  <c r="L124" i="5" s="1"/>
  <c r="K124" i="5" a="1"/>
  <c r="K124" i="5" s="1"/>
  <c r="J124" i="5" a="1"/>
  <c r="J124" i="5"/>
  <c r="I124" i="5" a="1"/>
  <c r="I124" i="5" s="1"/>
  <c r="H124" i="5"/>
  <c r="M123" i="5" a="1"/>
  <c r="M123" i="5" s="1"/>
  <c r="L123" i="5" a="1"/>
  <c r="L123" i="5" s="1"/>
  <c r="K123" i="5" a="1"/>
  <c r="K123" i="5" s="1"/>
  <c r="J123" i="5" a="1"/>
  <c r="J123" i="5" s="1"/>
  <c r="I123" i="5" a="1"/>
  <c r="I123" i="5" s="1"/>
  <c r="H123" i="5"/>
  <c r="M122" i="5" a="1"/>
  <c r="M122" i="5" s="1"/>
  <c r="L122" i="5" a="1"/>
  <c r="L122" i="5" s="1"/>
  <c r="K122" i="5" a="1"/>
  <c r="K122" i="5" s="1"/>
  <c r="J122" i="5" a="1"/>
  <c r="J122" i="5" s="1"/>
  <c r="I122" i="5" a="1"/>
  <c r="I122" i="5" s="1"/>
  <c r="H122" i="5"/>
  <c r="M121" i="5" a="1"/>
  <c r="M121" i="5" s="1"/>
  <c r="L121" i="5" a="1"/>
  <c r="L121" i="5" s="1"/>
  <c r="K121" i="5" a="1"/>
  <c r="K121" i="5" s="1"/>
  <c r="J121" i="5" a="1"/>
  <c r="J121" i="5" s="1"/>
  <c r="I121" i="5" a="1"/>
  <c r="I121" i="5" s="1"/>
  <c r="H121" i="5"/>
  <c r="M120" i="5" a="1"/>
  <c r="M120" i="5" s="1"/>
  <c r="L120" i="5" a="1"/>
  <c r="L120" i="5"/>
  <c r="K120" i="5" a="1"/>
  <c r="K120" i="5" s="1"/>
  <c r="J120" i="5" a="1"/>
  <c r="J120" i="5" s="1"/>
  <c r="I120" i="5" a="1"/>
  <c r="I120" i="5" s="1"/>
  <c r="H120" i="5"/>
  <c r="M119" i="5" a="1"/>
  <c r="M119" i="5" s="1"/>
  <c r="L119" i="5" a="1"/>
  <c r="L119" i="5" s="1"/>
  <c r="K119" i="5" a="1"/>
  <c r="K119" i="5" s="1"/>
  <c r="J119" i="5" a="1"/>
  <c r="J119" i="5" s="1"/>
  <c r="I119" i="5" a="1"/>
  <c r="I119" i="5" s="1"/>
  <c r="H119" i="5"/>
  <c r="M118" i="5" a="1"/>
  <c r="M118" i="5" s="1"/>
  <c r="L118" i="5" a="1"/>
  <c r="L118" i="5" s="1"/>
  <c r="K118" i="5" a="1"/>
  <c r="K118" i="5" s="1"/>
  <c r="J118" i="5" a="1"/>
  <c r="J118" i="5" s="1"/>
  <c r="I118" i="5" a="1"/>
  <c r="I118" i="5" s="1"/>
  <c r="H118" i="5"/>
  <c r="M117" i="5" a="1"/>
  <c r="M117" i="5" s="1"/>
  <c r="L117" i="5" a="1"/>
  <c r="L117" i="5" s="1"/>
  <c r="K117" i="5" a="1"/>
  <c r="K117" i="5"/>
  <c r="J117" i="5" a="1"/>
  <c r="J117" i="5" s="1"/>
  <c r="I117" i="5" a="1"/>
  <c r="I117" i="5" s="1"/>
  <c r="H117" i="5"/>
  <c r="M116" i="5" a="1"/>
  <c r="M116" i="5" s="1"/>
  <c r="L116" i="5" a="1"/>
  <c r="L116" i="5" s="1"/>
  <c r="K116" i="5" a="1"/>
  <c r="K116" i="5"/>
  <c r="J116" i="5" a="1"/>
  <c r="J116" i="5" s="1"/>
  <c r="I116" i="5" a="1"/>
  <c r="I116" i="5" s="1"/>
  <c r="H116" i="5"/>
  <c r="M115" i="5" a="1"/>
  <c r="M115" i="5" s="1"/>
  <c r="L115" i="5" a="1"/>
  <c r="L115" i="5" s="1"/>
  <c r="K115" i="5" a="1"/>
  <c r="K115" i="5" s="1"/>
  <c r="J115" i="5" a="1"/>
  <c r="J115" i="5" s="1"/>
  <c r="I115" i="5" a="1"/>
  <c r="I115" i="5" s="1"/>
  <c r="H115" i="5"/>
  <c r="M114" i="5" a="1"/>
  <c r="M114" i="5" s="1"/>
  <c r="L114" i="5" a="1"/>
  <c r="L114" i="5" s="1"/>
  <c r="K114" i="5" a="1"/>
  <c r="K114" i="5"/>
  <c r="J114" i="5" a="1"/>
  <c r="J114" i="5" s="1"/>
  <c r="I114" i="5" a="1"/>
  <c r="I114" i="5" s="1"/>
  <c r="H114" i="5"/>
  <c r="M113" i="5" a="1"/>
  <c r="M113" i="5" s="1"/>
  <c r="L113" i="5" a="1"/>
  <c r="L113" i="5" s="1"/>
  <c r="K113" i="5" a="1"/>
  <c r="K113" i="5" s="1"/>
  <c r="J113" i="5" a="1"/>
  <c r="J113" i="5" s="1"/>
  <c r="I113" i="5" a="1"/>
  <c r="I113" i="5" s="1"/>
  <c r="H113" i="5"/>
  <c r="M112" i="5" a="1"/>
  <c r="M112" i="5" s="1"/>
  <c r="L112" i="5" a="1"/>
  <c r="L112" i="5" s="1"/>
  <c r="K112" i="5" a="1"/>
  <c r="K112" i="5" s="1"/>
  <c r="J112" i="5" a="1"/>
  <c r="J112" i="5" s="1"/>
  <c r="I112" i="5" a="1"/>
  <c r="I112" i="5" s="1"/>
  <c r="H112" i="5"/>
  <c r="M111" i="5" a="1"/>
  <c r="M111" i="5" s="1"/>
  <c r="L111" i="5" a="1"/>
  <c r="L111" i="5" s="1"/>
  <c r="K111" i="5" a="1"/>
  <c r="K111" i="5"/>
  <c r="J111" i="5" a="1"/>
  <c r="J111" i="5" s="1"/>
  <c r="I111" i="5" a="1"/>
  <c r="I111" i="5" s="1"/>
  <c r="H111" i="5"/>
  <c r="M110" i="5" a="1"/>
  <c r="M110" i="5" s="1"/>
  <c r="L110" i="5" a="1"/>
  <c r="L110" i="5" s="1"/>
  <c r="K110" i="5" a="1"/>
  <c r="K110" i="5" s="1"/>
  <c r="J110" i="5" a="1"/>
  <c r="J110" i="5" s="1"/>
  <c r="I110" i="5" a="1"/>
  <c r="I110" i="5" s="1"/>
  <c r="H110" i="5"/>
  <c r="M109" i="5" a="1"/>
  <c r="M109" i="5" s="1"/>
  <c r="L109" i="5" a="1"/>
  <c r="L109" i="5" s="1"/>
  <c r="K109" i="5" a="1"/>
  <c r="K109" i="5" s="1"/>
  <c r="J109" i="5" a="1"/>
  <c r="J109" i="5" s="1"/>
  <c r="I109" i="5" a="1"/>
  <c r="I109" i="5" s="1"/>
  <c r="H109" i="5"/>
  <c r="M108" i="5" a="1"/>
  <c r="M108" i="5" s="1"/>
  <c r="L108" i="5" a="1"/>
  <c r="L108" i="5" s="1"/>
  <c r="K108" i="5" a="1"/>
  <c r="K108" i="5" s="1"/>
  <c r="J108" i="5" a="1"/>
  <c r="J108" i="5" s="1"/>
  <c r="I108" i="5" a="1"/>
  <c r="I108" i="5" s="1"/>
  <c r="H108" i="5"/>
  <c r="M107" i="5" a="1"/>
  <c r="M107" i="5" s="1"/>
  <c r="L107" i="5" a="1"/>
  <c r="L107" i="5" s="1"/>
  <c r="K107" i="5" a="1"/>
  <c r="K107" i="5" s="1"/>
  <c r="J107" i="5" a="1"/>
  <c r="J107" i="5" s="1"/>
  <c r="I107" i="5" a="1"/>
  <c r="I107" i="5" s="1"/>
  <c r="H107" i="5"/>
  <c r="M106" i="5" a="1"/>
  <c r="M106" i="5" s="1"/>
  <c r="L106" i="5" a="1"/>
  <c r="L106" i="5" s="1"/>
  <c r="K106" i="5" a="1"/>
  <c r="K106" i="5" s="1"/>
  <c r="J106" i="5" a="1"/>
  <c r="J106" i="5" s="1"/>
  <c r="I106" i="5" a="1"/>
  <c r="I106" i="5"/>
  <c r="H106" i="5"/>
  <c r="M105" i="5" a="1"/>
  <c r="M105" i="5" s="1"/>
  <c r="L105" i="5" a="1"/>
  <c r="L105" i="5" s="1"/>
  <c r="K105" i="5" a="1"/>
  <c r="K105" i="5" s="1"/>
  <c r="J105" i="5" a="1"/>
  <c r="J105" i="5" s="1"/>
  <c r="I105" i="5" a="1"/>
  <c r="I105" i="5"/>
  <c r="H105" i="5"/>
  <c r="M104" i="5" a="1"/>
  <c r="M104" i="5" s="1"/>
  <c r="L104" i="5" a="1"/>
  <c r="L104" i="5" s="1"/>
  <c r="K104" i="5" a="1"/>
  <c r="K104" i="5" s="1"/>
  <c r="J104" i="5" a="1"/>
  <c r="J104" i="5" s="1"/>
  <c r="I104" i="5" a="1"/>
  <c r="I104" i="5" s="1"/>
  <c r="H104" i="5"/>
  <c r="M103" i="5" a="1"/>
  <c r="M103" i="5" s="1"/>
  <c r="L103" i="5" a="1"/>
  <c r="L103" i="5" s="1"/>
  <c r="K103" i="5" a="1"/>
  <c r="K103" i="5" s="1"/>
  <c r="J103" i="5" a="1"/>
  <c r="J103" i="5" s="1"/>
  <c r="I103" i="5" a="1"/>
  <c r="I103" i="5" s="1"/>
  <c r="H103" i="5"/>
  <c r="M102" i="5" a="1"/>
  <c r="M102" i="5" s="1"/>
  <c r="L102" i="5" a="1"/>
  <c r="L102" i="5" s="1"/>
  <c r="K102" i="5" a="1"/>
  <c r="K102" i="5" s="1"/>
  <c r="J102" i="5" a="1"/>
  <c r="J102" i="5" s="1"/>
  <c r="I102" i="5" a="1"/>
  <c r="I102" i="5" s="1"/>
  <c r="H102" i="5"/>
  <c r="M101" i="5" a="1"/>
  <c r="M101" i="5" s="1"/>
  <c r="L101" i="5" a="1"/>
  <c r="L101" i="5" s="1"/>
  <c r="K101" i="5" a="1"/>
  <c r="K101" i="5"/>
  <c r="J101" i="5" a="1"/>
  <c r="J101" i="5" s="1"/>
  <c r="I101" i="5" a="1"/>
  <c r="I101" i="5" s="1"/>
  <c r="H101" i="5"/>
  <c r="M100" i="5" a="1"/>
  <c r="M100" i="5" s="1"/>
  <c r="L100" i="5" a="1"/>
  <c r="L100" i="5" s="1"/>
  <c r="K100" i="5" a="1"/>
  <c r="K100" i="5" s="1"/>
  <c r="J100" i="5" a="1"/>
  <c r="J100" i="5"/>
  <c r="I100" i="5" a="1"/>
  <c r="I100" i="5" s="1"/>
  <c r="H100" i="5"/>
  <c r="M99" i="5" a="1"/>
  <c r="M99" i="5"/>
  <c r="L99" i="5" a="1"/>
  <c r="L99" i="5" s="1"/>
  <c r="K99" i="5" a="1"/>
  <c r="K99" i="5" s="1"/>
  <c r="J99" i="5" a="1"/>
  <c r="J99" i="5" s="1"/>
  <c r="I99" i="5" a="1"/>
  <c r="I99" i="5" s="1"/>
  <c r="H99" i="5"/>
  <c r="M98" i="5" a="1"/>
  <c r="M98" i="5" s="1"/>
  <c r="L98" i="5" a="1"/>
  <c r="L98" i="5" s="1"/>
  <c r="K98" i="5" a="1"/>
  <c r="K98" i="5" s="1"/>
  <c r="J98" i="5" a="1"/>
  <c r="J98" i="5" s="1"/>
  <c r="I98" i="5" a="1"/>
  <c r="I98" i="5" s="1"/>
  <c r="H98" i="5"/>
  <c r="M97" i="5" a="1"/>
  <c r="M97" i="5" s="1"/>
  <c r="L97" i="5" a="1"/>
  <c r="L97" i="5" s="1"/>
  <c r="K97" i="5" a="1"/>
  <c r="K97" i="5" s="1"/>
  <c r="J97" i="5" a="1"/>
  <c r="J97" i="5" s="1"/>
  <c r="I97" i="5" a="1"/>
  <c r="I97" i="5" s="1"/>
  <c r="H97" i="5"/>
  <c r="M96" i="5" a="1"/>
  <c r="M96" i="5" s="1"/>
  <c r="L96" i="5" a="1"/>
  <c r="L96" i="5" s="1"/>
  <c r="K96" i="5" a="1"/>
  <c r="K96" i="5" s="1"/>
  <c r="J96" i="5" a="1"/>
  <c r="J96" i="5" s="1"/>
  <c r="I96" i="5" a="1"/>
  <c r="I96" i="5" s="1"/>
  <c r="H96" i="5"/>
  <c r="M95" i="5" a="1"/>
  <c r="M95" i="5" s="1"/>
  <c r="L95" i="5" a="1"/>
  <c r="L95" i="5" s="1"/>
  <c r="K95" i="5" a="1"/>
  <c r="K95" i="5" s="1"/>
  <c r="J95" i="5" a="1"/>
  <c r="J95" i="5" s="1"/>
  <c r="I95" i="5" a="1"/>
  <c r="I95" i="5" s="1"/>
  <c r="H95" i="5"/>
  <c r="M94" i="5" a="1"/>
  <c r="M94" i="5" s="1"/>
  <c r="L94" i="5" a="1"/>
  <c r="L94" i="5" s="1"/>
  <c r="K94" i="5" a="1"/>
  <c r="K94" i="5" s="1"/>
  <c r="J94" i="5" a="1"/>
  <c r="J94" i="5" s="1"/>
  <c r="I94" i="5" a="1"/>
  <c r="I94" i="5"/>
  <c r="H94" i="5"/>
  <c r="M93" i="5" a="1"/>
  <c r="M93" i="5" s="1"/>
  <c r="L93" i="5" a="1"/>
  <c r="L93" i="5" s="1"/>
  <c r="K93" i="5" a="1"/>
  <c r="K93" i="5" s="1"/>
  <c r="J93" i="5" a="1"/>
  <c r="J93" i="5" s="1"/>
  <c r="I93" i="5" a="1"/>
  <c r="I93" i="5" s="1"/>
  <c r="H93" i="5"/>
  <c r="M92" i="5" a="1"/>
  <c r="M92" i="5" s="1"/>
  <c r="L92" i="5" a="1"/>
  <c r="L92" i="5" s="1"/>
  <c r="K92" i="5" a="1"/>
  <c r="K92" i="5" s="1"/>
  <c r="J92" i="5" a="1"/>
  <c r="J92" i="5" s="1"/>
  <c r="I92" i="5" a="1"/>
  <c r="I92" i="5"/>
  <c r="H92" i="5"/>
  <c r="M91" i="5" a="1"/>
  <c r="M91" i="5" s="1"/>
  <c r="L91" i="5" a="1"/>
  <c r="L91" i="5" s="1"/>
  <c r="K91" i="5" a="1"/>
  <c r="K91" i="5" s="1"/>
  <c r="J91" i="5" a="1"/>
  <c r="J91" i="5" s="1"/>
  <c r="I91" i="5" a="1"/>
  <c r="I91" i="5" s="1"/>
  <c r="H91" i="5"/>
  <c r="M90" i="5" a="1"/>
  <c r="M90" i="5" s="1"/>
  <c r="L90" i="5" a="1"/>
  <c r="L90" i="5" s="1"/>
  <c r="K90" i="5" a="1"/>
  <c r="K90" i="5" s="1"/>
  <c r="J90" i="5" a="1"/>
  <c r="J90" i="5" s="1"/>
  <c r="I90" i="5" a="1"/>
  <c r="I90" i="5" s="1"/>
  <c r="H90" i="5"/>
  <c r="M89" i="5" a="1"/>
  <c r="M89" i="5" s="1"/>
  <c r="L89" i="5" a="1"/>
  <c r="L89" i="5" s="1"/>
  <c r="K89" i="5" a="1"/>
  <c r="K89" i="5" s="1"/>
  <c r="J89" i="5" a="1"/>
  <c r="J89" i="5" s="1"/>
  <c r="I89" i="5" a="1"/>
  <c r="I89" i="5" s="1"/>
  <c r="H89" i="5"/>
  <c r="M88" i="5" a="1"/>
  <c r="M88" i="5" s="1"/>
  <c r="L88" i="5" a="1"/>
  <c r="L88" i="5" s="1"/>
  <c r="K88" i="5" a="1"/>
  <c r="K88" i="5" s="1"/>
  <c r="J88" i="5" a="1"/>
  <c r="J88" i="5" s="1"/>
  <c r="I88" i="5" a="1"/>
  <c r="I88" i="5" s="1"/>
  <c r="H88" i="5"/>
  <c r="M87" i="5" a="1"/>
  <c r="M87" i="5" s="1"/>
  <c r="L87" i="5" a="1"/>
  <c r="L87" i="5" s="1"/>
  <c r="K87" i="5" a="1"/>
  <c r="K87" i="5" s="1"/>
  <c r="J87" i="5" a="1"/>
  <c r="J87" i="5" s="1"/>
  <c r="I87" i="5" a="1"/>
  <c r="I87" i="5" s="1"/>
  <c r="H87" i="5"/>
  <c r="M86" i="5" a="1"/>
  <c r="M86" i="5" s="1"/>
  <c r="L86" i="5" a="1"/>
  <c r="L86" i="5"/>
  <c r="K86" i="5" a="1"/>
  <c r="K86" i="5" s="1"/>
  <c r="J86" i="5" a="1"/>
  <c r="J86" i="5" s="1"/>
  <c r="I86" i="5" a="1"/>
  <c r="I86" i="5" s="1"/>
  <c r="H86" i="5"/>
  <c r="M85" i="5" a="1"/>
  <c r="M85" i="5" s="1"/>
  <c r="L85" i="5" a="1"/>
  <c r="L85" i="5" s="1"/>
  <c r="K85" i="5" a="1"/>
  <c r="K85" i="5" s="1"/>
  <c r="J85" i="5" a="1"/>
  <c r="J85" i="5" s="1"/>
  <c r="I85" i="5" a="1"/>
  <c r="I85" i="5" s="1"/>
  <c r="H85" i="5"/>
  <c r="M84" i="5" a="1"/>
  <c r="M84" i="5"/>
  <c r="L84" i="5" a="1"/>
  <c r="L84" i="5" s="1"/>
  <c r="K84" i="5" a="1"/>
  <c r="K84" i="5" s="1"/>
  <c r="J84" i="5" a="1"/>
  <c r="J84" i="5" s="1"/>
  <c r="I84" i="5" a="1"/>
  <c r="I84" i="5" s="1"/>
  <c r="H84" i="5"/>
  <c r="M83" i="5" a="1"/>
  <c r="M83" i="5" s="1"/>
  <c r="L83" i="5" a="1"/>
  <c r="L83" i="5" s="1"/>
  <c r="K83" i="5" a="1"/>
  <c r="K83" i="5" s="1"/>
  <c r="J83" i="5" a="1"/>
  <c r="J83" i="5" s="1"/>
  <c r="I83" i="5" a="1"/>
  <c r="I83" i="5" s="1"/>
  <c r="H83" i="5"/>
  <c r="M82" i="5" a="1"/>
  <c r="M82" i="5" s="1"/>
  <c r="L82" i="5" a="1"/>
  <c r="L82" i="5" s="1"/>
  <c r="K82" i="5" a="1"/>
  <c r="K82" i="5" s="1"/>
  <c r="J82" i="5" a="1"/>
  <c r="J82" i="5" s="1"/>
  <c r="I82" i="5" a="1"/>
  <c r="I82" i="5" s="1"/>
  <c r="H82" i="5"/>
  <c r="M81" i="5" a="1"/>
  <c r="M81" i="5" s="1"/>
  <c r="L81" i="5" a="1"/>
  <c r="L81" i="5" s="1"/>
  <c r="K81" i="5" a="1"/>
  <c r="K81" i="5" s="1"/>
  <c r="J81" i="5" a="1"/>
  <c r="J81" i="5"/>
  <c r="I81" i="5" a="1"/>
  <c r="I81" i="5" s="1"/>
  <c r="H81" i="5"/>
  <c r="M80" i="5" a="1"/>
  <c r="M80" i="5" s="1"/>
  <c r="L80" i="5" a="1"/>
  <c r="L80" i="5" s="1"/>
  <c r="K80" i="5" a="1"/>
  <c r="K80" i="5" s="1"/>
  <c r="J80" i="5" a="1"/>
  <c r="J80" i="5" s="1"/>
  <c r="I80" i="5" a="1"/>
  <c r="I80" i="5" s="1"/>
  <c r="H80" i="5"/>
  <c r="M79" i="5" a="1"/>
  <c r="M79" i="5" s="1"/>
  <c r="L79" i="5" a="1"/>
  <c r="L79" i="5" s="1"/>
  <c r="K79" i="5" a="1"/>
  <c r="K79" i="5" s="1"/>
  <c r="J79" i="5" a="1"/>
  <c r="J79" i="5" s="1"/>
  <c r="I79" i="5" a="1"/>
  <c r="I79" i="5" s="1"/>
  <c r="H79" i="5"/>
  <c r="M78" i="5" a="1"/>
  <c r="M78" i="5" s="1"/>
  <c r="L78" i="5" a="1"/>
  <c r="L78" i="5" s="1"/>
  <c r="K78" i="5" a="1"/>
  <c r="K78" i="5" s="1"/>
  <c r="J78" i="5" a="1"/>
  <c r="J78" i="5" s="1"/>
  <c r="I78" i="5" a="1"/>
  <c r="I78" i="5" s="1"/>
  <c r="H78" i="5"/>
  <c r="M77" i="5" a="1"/>
  <c r="M77" i="5" s="1"/>
  <c r="L77" i="5" a="1"/>
  <c r="L77" i="5"/>
  <c r="K77" i="5" a="1"/>
  <c r="K77" i="5" s="1"/>
  <c r="J77" i="5" a="1"/>
  <c r="J77" i="5" s="1"/>
  <c r="I77" i="5" a="1"/>
  <c r="I77" i="5" s="1"/>
  <c r="H77" i="5"/>
  <c r="M76" i="5" a="1"/>
  <c r="M76" i="5" s="1"/>
  <c r="L76" i="5" a="1"/>
  <c r="L76" i="5" s="1"/>
  <c r="K76" i="5" a="1"/>
  <c r="K76" i="5" s="1"/>
  <c r="J76" i="5" a="1"/>
  <c r="J76" i="5" s="1"/>
  <c r="I76" i="5" a="1"/>
  <c r="I76" i="5" s="1"/>
  <c r="H76" i="5"/>
  <c r="M75" i="5" a="1"/>
  <c r="M75" i="5" s="1"/>
  <c r="L75" i="5" a="1"/>
  <c r="L75" i="5" s="1"/>
  <c r="K75" i="5" a="1"/>
  <c r="K75" i="5" s="1"/>
  <c r="J75" i="5" a="1"/>
  <c r="J75" i="5" s="1"/>
  <c r="I75" i="5" a="1"/>
  <c r="I75" i="5" s="1"/>
  <c r="H75" i="5"/>
  <c r="M74" i="5" a="1"/>
  <c r="M74" i="5" s="1"/>
  <c r="L74" i="5" a="1"/>
  <c r="L74" i="5" s="1"/>
  <c r="K74" i="5" a="1"/>
  <c r="K74" i="5" s="1"/>
  <c r="J74" i="5" a="1"/>
  <c r="J74" i="5" s="1"/>
  <c r="I74" i="5" a="1"/>
  <c r="I74" i="5" s="1"/>
  <c r="H74" i="5"/>
  <c r="M73" i="5" a="1"/>
  <c r="M73" i="5" s="1"/>
  <c r="L73" i="5" a="1"/>
  <c r="L73" i="5" s="1"/>
  <c r="K73" i="5" a="1"/>
  <c r="K73" i="5" s="1"/>
  <c r="J73" i="5" a="1"/>
  <c r="J73" i="5"/>
  <c r="I73" i="5" a="1"/>
  <c r="I73" i="5" s="1"/>
  <c r="H73" i="5"/>
  <c r="M72" i="5" a="1"/>
  <c r="M72" i="5" s="1"/>
  <c r="L72" i="5" a="1"/>
  <c r="L72" i="5" s="1"/>
  <c r="K72" i="5" a="1"/>
  <c r="K72" i="5" s="1"/>
  <c r="J72" i="5" a="1"/>
  <c r="J72" i="5" s="1"/>
  <c r="I72" i="5" a="1"/>
  <c r="I72" i="5" s="1"/>
  <c r="H72" i="5"/>
  <c r="M71" i="5" a="1"/>
  <c r="M71" i="5" s="1"/>
  <c r="L71" i="5" a="1"/>
  <c r="L71" i="5" s="1"/>
  <c r="K71" i="5" a="1"/>
  <c r="K71" i="5" s="1"/>
  <c r="J71" i="5" a="1"/>
  <c r="J71" i="5" s="1"/>
  <c r="I71" i="5" a="1"/>
  <c r="I71" i="5" s="1"/>
  <c r="H71" i="5"/>
  <c r="M70" i="5" a="1"/>
  <c r="M70" i="5" s="1"/>
  <c r="L70" i="5" a="1"/>
  <c r="L70" i="5" s="1"/>
  <c r="K70" i="5" a="1"/>
  <c r="K70" i="5" s="1"/>
  <c r="J70" i="5" a="1"/>
  <c r="J70" i="5"/>
  <c r="I70" i="5" a="1"/>
  <c r="I70" i="5" s="1"/>
  <c r="H70" i="5"/>
  <c r="M69" i="5" a="1"/>
  <c r="M69" i="5" s="1"/>
  <c r="L69" i="5" a="1"/>
  <c r="L69" i="5" s="1"/>
  <c r="K69" i="5" a="1"/>
  <c r="K69" i="5" s="1"/>
  <c r="J69" i="5" a="1"/>
  <c r="J69" i="5" s="1"/>
  <c r="I69" i="5" a="1"/>
  <c r="I69" i="5" s="1"/>
  <c r="H69" i="5"/>
  <c r="M68" i="5" a="1"/>
  <c r="M68" i="5" s="1"/>
  <c r="L68" i="5" a="1"/>
  <c r="L68" i="5" s="1"/>
  <c r="K68" i="5" a="1"/>
  <c r="K68" i="5" s="1"/>
  <c r="J68" i="5" a="1"/>
  <c r="J68" i="5" s="1"/>
  <c r="I68" i="5" a="1"/>
  <c r="I68" i="5" s="1"/>
  <c r="H68" i="5"/>
  <c r="M67" i="5" a="1"/>
  <c r="M67" i="5" s="1"/>
  <c r="L67" i="5" a="1"/>
  <c r="L67" i="5" s="1"/>
  <c r="K67" i="5" a="1"/>
  <c r="K67" i="5" s="1"/>
  <c r="J67" i="5" a="1"/>
  <c r="J67" i="5" s="1"/>
  <c r="I67" i="5" a="1"/>
  <c r="I67" i="5" s="1"/>
  <c r="H67" i="5"/>
  <c r="M66" i="5" a="1"/>
  <c r="M66" i="5" s="1"/>
  <c r="L66" i="5" a="1"/>
  <c r="L66" i="5" s="1"/>
  <c r="K66" i="5" a="1"/>
  <c r="K66" i="5" s="1"/>
  <c r="J66" i="5" a="1"/>
  <c r="J66" i="5"/>
  <c r="I66" i="5" a="1"/>
  <c r="I66" i="5" s="1"/>
  <c r="H66" i="5"/>
  <c r="M65" i="5" a="1"/>
  <c r="M65" i="5" s="1"/>
  <c r="L65" i="5" a="1"/>
  <c r="L65" i="5" s="1"/>
  <c r="K65" i="5" a="1"/>
  <c r="K65" i="5" s="1"/>
  <c r="J65" i="5" a="1"/>
  <c r="J65" i="5" s="1"/>
  <c r="I65" i="5" a="1"/>
  <c r="I65" i="5" s="1"/>
  <c r="H65" i="5"/>
  <c r="M64" i="5" a="1"/>
  <c r="M64" i="5" s="1"/>
  <c r="L64" i="5" a="1"/>
  <c r="L64" i="5" s="1"/>
  <c r="K64" i="5" a="1"/>
  <c r="K64" i="5" s="1"/>
  <c r="J64" i="5" a="1"/>
  <c r="J64" i="5" s="1"/>
  <c r="I64" i="5" a="1"/>
  <c r="I64" i="5" s="1"/>
  <c r="H64" i="5"/>
  <c r="M63" i="5" a="1"/>
  <c r="M63" i="5" s="1"/>
  <c r="L63" i="5" a="1"/>
  <c r="L63" i="5" s="1"/>
  <c r="K63" i="5" a="1"/>
  <c r="K63" i="5" s="1"/>
  <c r="J63" i="5" a="1"/>
  <c r="J63" i="5" s="1"/>
  <c r="I63" i="5" a="1"/>
  <c r="I63" i="5" s="1"/>
  <c r="H63" i="5"/>
  <c r="M62" i="5" a="1"/>
  <c r="M62" i="5" s="1"/>
  <c r="L62" i="5" a="1"/>
  <c r="L62" i="5" s="1"/>
  <c r="K62" i="5" a="1"/>
  <c r="K62" i="5" s="1"/>
  <c r="J62" i="5" a="1"/>
  <c r="J62" i="5" s="1"/>
  <c r="I62" i="5" a="1"/>
  <c r="I62" i="5" s="1"/>
  <c r="H62" i="5"/>
  <c r="M61" i="5" a="1"/>
  <c r="M61" i="5" s="1"/>
  <c r="L61" i="5" a="1"/>
  <c r="L61" i="5" s="1"/>
  <c r="K61" i="5" a="1"/>
  <c r="K61" i="5" s="1"/>
  <c r="J61" i="5" a="1"/>
  <c r="J61" i="5" s="1"/>
  <c r="I61" i="5" a="1"/>
  <c r="I61" i="5" s="1"/>
  <c r="H61" i="5"/>
  <c r="M60" i="5" a="1"/>
  <c r="M60" i="5" s="1"/>
  <c r="L60" i="5" a="1"/>
  <c r="L60" i="5" s="1"/>
  <c r="K60" i="5" a="1"/>
  <c r="K60" i="5" s="1"/>
  <c r="J60" i="5" a="1"/>
  <c r="J60" i="5" s="1"/>
  <c r="I60" i="5" a="1"/>
  <c r="I60" i="5" s="1"/>
  <c r="H60" i="5"/>
  <c r="M59" i="5" a="1"/>
  <c r="M59" i="5" s="1"/>
  <c r="L59" i="5" a="1"/>
  <c r="L59" i="5" s="1"/>
  <c r="K59" i="5" a="1"/>
  <c r="K59" i="5" s="1"/>
  <c r="J59" i="5" a="1"/>
  <c r="J59" i="5" s="1"/>
  <c r="I59" i="5" a="1"/>
  <c r="I59" i="5" s="1"/>
  <c r="H59" i="5"/>
  <c r="M58" i="5" a="1"/>
  <c r="M58" i="5" s="1"/>
  <c r="L58" i="5" a="1"/>
  <c r="L58" i="5"/>
  <c r="K58" i="5" a="1"/>
  <c r="K58" i="5" s="1"/>
  <c r="J58" i="5" a="1"/>
  <c r="J58" i="5" s="1"/>
  <c r="I58" i="5" a="1"/>
  <c r="I58" i="5" s="1"/>
  <c r="H58" i="5"/>
  <c r="M57" i="5" a="1"/>
  <c r="M57" i="5" s="1"/>
  <c r="L57" i="5" a="1"/>
  <c r="L57" i="5" s="1"/>
  <c r="K57" i="5" a="1"/>
  <c r="K57" i="5" s="1"/>
  <c r="J57" i="5" a="1"/>
  <c r="J57" i="5" s="1"/>
  <c r="I57" i="5" a="1"/>
  <c r="I57" i="5" s="1"/>
  <c r="H57" i="5"/>
  <c r="M56" i="5" a="1"/>
  <c r="M56" i="5" s="1"/>
  <c r="L56" i="5" a="1"/>
  <c r="L56" i="5" s="1"/>
  <c r="K56" i="5" a="1"/>
  <c r="K56" i="5" s="1"/>
  <c r="J56" i="5" a="1"/>
  <c r="J56" i="5" s="1"/>
  <c r="I56" i="5" a="1"/>
  <c r="I56" i="5"/>
  <c r="H56" i="5"/>
  <c r="M55" i="5" a="1"/>
  <c r="M55" i="5" s="1"/>
  <c r="L55" i="5" a="1"/>
  <c r="L55" i="5"/>
  <c r="K55" i="5" a="1"/>
  <c r="K55" i="5" s="1"/>
  <c r="J55" i="5" a="1"/>
  <c r="J55" i="5" s="1"/>
  <c r="I55" i="5" a="1"/>
  <c r="I55" i="5" s="1"/>
  <c r="H55" i="5"/>
  <c r="M54" i="5" a="1"/>
  <c r="M54" i="5" s="1"/>
  <c r="L54" i="5" a="1"/>
  <c r="L54" i="5" s="1"/>
  <c r="K54" i="5" a="1"/>
  <c r="K54" i="5" s="1"/>
  <c r="J54" i="5" a="1"/>
  <c r="J54" i="5" s="1"/>
  <c r="I54" i="5" a="1"/>
  <c r="I54" i="5" s="1"/>
  <c r="H54" i="5"/>
  <c r="M53" i="5" a="1"/>
  <c r="M53" i="5" s="1"/>
  <c r="L53" i="5" a="1"/>
  <c r="L53" i="5" s="1"/>
  <c r="K53" i="5" a="1"/>
  <c r="K53" i="5" s="1"/>
  <c r="J53" i="5" a="1"/>
  <c r="J53" i="5" s="1"/>
  <c r="I53" i="5" a="1"/>
  <c r="I53" i="5" s="1"/>
  <c r="H53" i="5"/>
  <c r="M52" i="5" a="1"/>
  <c r="M52" i="5" s="1"/>
  <c r="L52" i="5" a="1"/>
  <c r="L52" i="5" s="1"/>
  <c r="K52" i="5" a="1"/>
  <c r="K52" i="5" s="1"/>
  <c r="J52" i="5" a="1"/>
  <c r="J52" i="5" s="1"/>
  <c r="I52" i="5" a="1"/>
  <c r="I52" i="5" s="1"/>
  <c r="H52" i="5"/>
  <c r="M51" i="5" a="1"/>
  <c r="M51" i="5" s="1"/>
  <c r="L51" i="5" a="1"/>
  <c r="L51" i="5" s="1"/>
  <c r="K51" i="5" a="1"/>
  <c r="K51" i="5" s="1"/>
  <c r="J51" i="5" a="1"/>
  <c r="J51" i="5"/>
  <c r="I51" i="5" a="1"/>
  <c r="I51" i="5" s="1"/>
  <c r="H51" i="5"/>
  <c r="M50" i="5" a="1"/>
  <c r="M50" i="5" s="1"/>
  <c r="L50" i="5" a="1"/>
  <c r="L50" i="5" s="1"/>
  <c r="K50" i="5" a="1"/>
  <c r="K50" i="5" s="1"/>
  <c r="J50" i="5" a="1"/>
  <c r="J50" i="5" s="1"/>
  <c r="I50" i="5" a="1"/>
  <c r="I50" i="5"/>
  <c r="H50" i="5"/>
  <c r="M49" i="5" a="1"/>
  <c r="M49" i="5" s="1"/>
  <c r="L49" i="5" a="1"/>
  <c r="L49" i="5" s="1"/>
  <c r="K49" i="5" a="1"/>
  <c r="K49" i="5" s="1"/>
  <c r="J49" i="5" a="1"/>
  <c r="J49" i="5" s="1"/>
  <c r="I49" i="5" a="1"/>
  <c r="I49" i="5" s="1"/>
  <c r="H49" i="5"/>
  <c r="M48" i="5" a="1"/>
  <c r="M48" i="5" s="1"/>
  <c r="L48" i="5" a="1"/>
  <c r="L48" i="5" s="1"/>
  <c r="K48" i="5" a="1"/>
  <c r="K48" i="5" s="1"/>
  <c r="J48" i="5" a="1"/>
  <c r="J48" i="5" s="1"/>
  <c r="I48" i="5" a="1"/>
  <c r="I48" i="5"/>
  <c r="H48" i="5"/>
  <c r="M47" i="5" a="1"/>
  <c r="M47" i="5" s="1"/>
  <c r="L47" i="5" a="1"/>
  <c r="L47" i="5" s="1"/>
  <c r="K47" i="5" a="1"/>
  <c r="K47" i="5" s="1"/>
  <c r="J47" i="5" a="1"/>
  <c r="J47" i="5" s="1"/>
  <c r="I47" i="5" a="1"/>
  <c r="I47" i="5" s="1"/>
  <c r="H47" i="5"/>
  <c r="M46" i="5" a="1"/>
  <c r="M46" i="5" s="1"/>
  <c r="L46" i="5" a="1"/>
  <c r="L46" i="5" s="1"/>
  <c r="K46" i="5" a="1"/>
  <c r="K46" i="5" s="1"/>
  <c r="J46" i="5" a="1"/>
  <c r="J46" i="5" s="1"/>
  <c r="I46" i="5" a="1"/>
  <c r="I46" i="5" s="1"/>
  <c r="H46" i="5"/>
  <c r="M45" i="5" a="1"/>
  <c r="M45" i="5" s="1"/>
  <c r="L45" i="5" a="1"/>
  <c r="L45" i="5" s="1"/>
  <c r="K45" i="5" a="1"/>
  <c r="K45" i="5" s="1"/>
  <c r="J45" i="5" a="1"/>
  <c r="J45" i="5" s="1"/>
  <c r="I45" i="5" a="1"/>
  <c r="I45" i="5" s="1"/>
  <c r="H45" i="5"/>
  <c r="M44" i="5" a="1"/>
  <c r="M44" i="5" s="1"/>
  <c r="L44" i="5" a="1"/>
  <c r="L44" i="5" s="1"/>
  <c r="K44" i="5" a="1"/>
  <c r="K44" i="5" s="1"/>
  <c r="J44" i="5" a="1"/>
  <c r="J44" i="5"/>
  <c r="I44" i="5" a="1"/>
  <c r="I44" i="5" s="1"/>
  <c r="H44" i="5"/>
  <c r="M43" i="5" a="1"/>
  <c r="M43" i="5" s="1"/>
  <c r="L43" i="5" a="1"/>
  <c r="L43" i="5" s="1"/>
  <c r="K43" i="5" a="1"/>
  <c r="K43" i="5" s="1"/>
  <c r="J43" i="5" a="1"/>
  <c r="J43" i="5" s="1"/>
  <c r="I43" i="5" a="1"/>
  <c r="I43" i="5" s="1"/>
  <c r="H43" i="5"/>
  <c r="M42" i="5" a="1"/>
  <c r="M42" i="5" s="1"/>
  <c r="L42" i="5" a="1"/>
  <c r="L42" i="5" s="1"/>
  <c r="K42" i="5" a="1"/>
  <c r="K42" i="5" s="1"/>
  <c r="J42" i="5" a="1"/>
  <c r="J42" i="5" s="1"/>
  <c r="I42" i="5" a="1"/>
  <c r="I42" i="5" s="1"/>
  <c r="H42" i="5"/>
  <c r="M41" i="5" a="1"/>
  <c r="M41" i="5" s="1"/>
  <c r="L41" i="5" a="1"/>
  <c r="L41" i="5" s="1"/>
  <c r="K41" i="5" a="1"/>
  <c r="K41" i="5" s="1"/>
  <c r="J41" i="5" a="1"/>
  <c r="J41" i="5"/>
  <c r="I41" i="5" a="1"/>
  <c r="I41" i="5" s="1"/>
  <c r="H41" i="5"/>
  <c r="M40" i="5" a="1"/>
  <c r="M40" i="5" s="1"/>
  <c r="L40" i="5" a="1"/>
  <c r="L40" i="5" s="1"/>
  <c r="K40" i="5" a="1"/>
  <c r="K40" i="5" s="1"/>
  <c r="J40" i="5" a="1"/>
  <c r="J40" i="5" s="1"/>
  <c r="I40" i="5" a="1"/>
  <c r="I40" i="5" s="1"/>
  <c r="H40" i="5"/>
  <c r="M39" i="5" a="1"/>
  <c r="M39" i="5" s="1"/>
  <c r="L39" i="5" a="1"/>
  <c r="L39" i="5" s="1"/>
  <c r="K39" i="5" a="1"/>
  <c r="K39" i="5" s="1"/>
  <c r="J39" i="5" a="1"/>
  <c r="J39" i="5" s="1"/>
  <c r="I39" i="5" a="1"/>
  <c r="I39" i="5" s="1"/>
  <c r="H39" i="5"/>
  <c r="M38" i="5" a="1"/>
  <c r="M38" i="5" s="1"/>
  <c r="L38" i="5" a="1"/>
  <c r="L38" i="5" s="1"/>
  <c r="K38" i="5" a="1"/>
  <c r="K38" i="5" s="1"/>
  <c r="J38" i="5" a="1"/>
  <c r="J38" i="5" s="1"/>
  <c r="I38" i="5" a="1"/>
  <c r="I38" i="5" s="1"/>
  <c r="H38" i="5"/>
  <c r="M37" i="5" a="1"/>
  <c r="M37" i="5"/>
  <c r="L37" i="5" a="1"/>
  <c r="L37" i="5" s="1"/>
  <c r="K37" i="5" a="1"/>
  <c r="K37" i="5" s="1"/>
  <c r="J37" i="5" a="1"/>
  <c r="J37" i="5" s="1"/>
  <c r="I37" i="5" a="1"/>
  <c r="I37" i="5" s="1"/>
  <c r="H37" i="5"/>
  <c r="M36" i="5" a="1"/>
  <c r="M36" i="5"/>
  <c r="L36" i="5" a="1"/>
  <c r="L36" i="5" s="1"/>
  <c r="K36" i="5" a="1"/>
  <c r="K36" i="5" s="1"/>
  <c r="J36" i="5" a="1"/>
  <c r="J36" i="5" s="1"/>
  <c r="I36" i="5" a="1"/>
  <c r="I36" i="5" s="1"/>
  <c r="H36" i="5"/>
  <c r="M35" i="5" a="1"/>
  <c r="M35" i="5"/>
  <c r="L35" i="5" a="1"/>
  <c r="L35" i="5" s="1"/>
  <c r="K35" i="5" a="1"/>
  <c r="K35" i="5" s="1"/>
  <c r="J35" i="5" a="1"/>
  <c r="J35" i="5" s="1"/>
  <c r="I35" i="5" a="1"/>
  <c r="I35" i="5" s="1"/>
  <c r="H35" i="5"/>
  <c r="M34" i="5" a="1"/>
  <c r="M34" i="5" s="1"/>
  <c r="L34" i="5" a="1"/>
  <c r="L34" i="5" s="1"/>
  <c r="K34" i="5" a="1"/>
  <c r="K34" i="5"/>
  <c r="J34" i="5" a="1"/>
  <c r="J34" i="5" s="1"/>
  <c r="I34" i="5" a="1"/>
  <c r="I34" i="5" s="1"/>
  <c r="H34" i="5"/>
  <c r="M33" i="5" a="1"/>
  <c r="M33" i="5" s="1"/>
  <c r="L33" i="5" a="1"/>
  <c r="L33" i="5" s="1"/>
  <c r="K33" i="5" a="1"/>
  <c r="K33" i="5" s="1"/>
  <c r="J33" i="5" a="1"/>
  <c r="J33" i="5" s="1"/>
  <c r="I33" i="5" a="1"/>
  <c r="I33" i="5" s="1"/>
  <c r="H33" i="5"/>
  <c r="M32" i="5" a="1"/>
  <c r="M32" i="5"/>
  <c r="L32" i="5" a="1"/>
  <c r="L32" i="5" s="1"/>
  <c r="K32" i="5" a="1"/>
  <c r="K32" i="5" s="1"/>
  <c r="J32" i="5" a="1"/>
  <c r="J32" i="5" s="1"/>
  <c r="I32" i="5" a="1"/>
  <c r="I32" i="5" s="1"/>
  <c r="H32" i="5"/>
  <c r="M31" i="5" a="1"/>
  <c r="M31" i="5" s="1"/>
  <c r="L31" i="5" a="1"/>
  <c r="L31" i="5" s="1"/>
  <c r="K31" i="5" a="1"/>
  <c r="K31" i="5" s="1"/>
  <c r="J31" i="5" a="1"/>
  <c r="J31" i="5" s="1"/>
  <c r="I31" i="5" a="1"/>
  <c r="I31" i="5" s="1"/>
  <c r="H31" i="5"/>
  <c r="M30" i="5" a="1"/>
  <c r="M30" i="5"/>
  <c r="L30" i="5" a="1"/>
  <c r="L30" i="5" s="1"/>
  <c r="K30" i="5" a="1"/>
  <c r="K30" i="5" s="1"/>
  <c r="J30" i="5" a="1"/>
  <c r="J30" i="5" s="1"/>
  <c r="I30" i="5" a="1"/>
  <c r="I30" i="5" s="1"/>
  <c r="H30" i="5"/>
  <c r="M29" i="5" a="1"/>
  <c r="M29" i="5" s="1"/>
  <c r="L29" i="5" a="1"/>
  <c r="L29" i="5" s="1"/>
  <c r="K29" i="5" a="1"/>
  <c r="K29" i="5" s="1"/>
  <c r="J29" i="5" a="1"/>
  <c r="J29" i="5" s="1"/>
  <c r="I29" i="5" a="1"/>
  <c r="I29" i="5" s="1"/>
  <c r="H29" i="5"/>
  <c r="M28" i="5" a="1"/>
  <c r="M28" i="5" s="1"/>
  <c r="L28" i="5" a="1"/>
  <c r="L28" i="5" s="1"/>
  <c r="K28" i="5" a="1"/>
  <c r="K28" i="5" s="1"/>
  <c r="J28" i="5" a="1"/>
  <c r="J28" i="5" s="1"/>
  <c r="I28" i="5" a="1"/>
  <c r="I28" i="5" s="1"/>
  <c r="H28" i="5"/>
  <c r="M27" i="5" a="1"/>
  <c r="M27" i="5" s="1"/>
  <c r="L27" i="5" a="1"/>
  <c r="L27" i="5" s="1"/>
  <c r="K27" i="5" a="1"/>
  <c r="K27" i="5" s="1"/>
  <c r="J27" i="5" a="1"/>
  <c r="J27" i="5" s="1"/>
  <c r="I27" i="5" a="1"/>
  <c r="I27" i="5"/>
  <c r="H27" i="5"/>
  <c r="M26" i="5" a="1"/>
  <c r="M26" i="5" s="1"/>
  <c r="L26" i="5" a="1"/>
  <c r="L26" i="5" s="1"/>
  <c r="K26" i="5" a="1"/>
  <c r="K26" i="5" s="1"/>
  <c r="J26" i="5" a="1"/>
  <c r="J26" i="5" s="1"/>
  <c r="I26" i="5" a="1"/>
  <c r="I26" i="5" s="1"/>
  <c r="H26" i="5"/>
  <c r="M25" i="5" a="1"/>
  <c r="M25" i="5" s="1"/>
  <c r="L25" i="5" a="1"/>
  <c r="L25" i="5" s="1"/>
  <c r="K25" i="5" a="1"/>
  <c r="K25" i="5" s="1"/>
  <c r="J25" i="5" a="1"/>
  <c r="J25" i="5" s="1"/>
  <c r="I25" i="5" a="1"/>
  <c r="I25" i="5" s="1"/>
  <c r="H25" i="5"/>
  <c r="M24" i="5" a="1"/>
  <c r="M24" i="5" s="1"/>
  <c r="L24" i="5" a="1"/>
  <c r="L24" i="5" s="1"/>
  <c r="K24" i="5" a="1"/>
  <c r="K24" i="5" s="1"/>
  <c r="J24" i="5" a="1"/>
  <c r="J24" i="5" s="1"/>
  <c r="I24" i="5" a="1"/>
  <c r="I24" i="5" s="1"/>
  <c r="H24" i="5"/>
  <c r="M23" i="5" a="1"/>
  <c r="M23" i="5" s="1"/>
  <c r="L23" i="5" a="1"/>
  <c r="L23" i="5"/>
  <c r="K23" i="5" a="1"/>
  <c r="K23" i="5" s="1"/>
  <c r="J23" i="5" a="1"/>
  <c r="J23" i="5" s="1"/>
  <c r="I23" i="5" a="1"/>
  <c r="I23" i="5"/>
  <c r="H23" i="5"/>
  <c r="M22" i="5" a="1"/>
  <c r="M22" i="5" s="1"/>
  <c r="L22" i="5" a="1"/>
  <c r="L22" i="5" s="1"/>
  <c r="K22" i="5" a="1"/>
  <c r="K22" i="5" s="1"/>
  <c r="J22" i="5" a="1"/>
  <c r="J22" i="5" s="1"/>
  <c r="I22" i="5" a="1"/>
  <c r="I22" i="5" s="1"/>
  <c r="H22" i="5"/>
  <c r="M21" i="5" a="1"/>
  <c r="M21" i="5" s="1"/>
  <c r="L21" i="5" a="1"/>
  <c r="L21" i="5" s="1"/>
  <c r="K21" i="5" a="1"/>
  <c r="K21" i="5" s="1"/>
  <c r="J21" i="5" a="1"/>
  <c r="J21" i="5" s="1"/>
  <c r="I21" i="5" a="1"/>
  <c r="I21" i="5" s="1"/>
  <c r="H21" i="5"/>
  <c r="M20" i="5" a="1"/>
  <c r="M20" i="5" s="1"/>
  <c r="L20" i="5" a="1"/>
  <c r="L20" i="5" s="1"/>
  <c r="K20" i="5" a="1"/>
  <c r="K20" i="5" s="1"/>
  <c r="J20" i="5" a="1"/>
  <c r="J20" i="5" s="1"/>
  <c r="I20" i="5" a="1"/>
  <c r="I20" i="5" s="1"/>
  <c r="H20" i="5"/>
  <c r="M19" i="5" a="1"/>
  <c r="M19" i="5" s="1"/>
  <c r="L19" i="5" a="1"/>
  <c r="L19" i="5" s="1"/>
  <c r="K19" i="5" a="1"/>
  <c r="K19" i="5" s="1"/>
  <c r="J19" i="5" a="1"/>
  <c r="J19" i="5" s="1"/>
  <c r="I19" i="5" a="1"/>
  <c r="I19" i="5" s="1"/>
  <c r="H19" i="5"/>
  <c r="M18" i="5" a="1"/>
  <c r="M18" i="5" s="1"/>
  <c r="L18" i="5" a="1"/>
  <c r="L18" i="5"/>
  <c r="K18" i="5" a="1"/>
  <c r="K18" i="5" s="1"/>
  <c r="J18" i="5" a="1"/>
  <c r="J18" i="5" s="1"/>
  <c r="I18" i="5" a="1"/>
  <c r="I18" i="5" s="1"/>
  <c r="H18" i="5"/>
  <c r="M17" i="5" a="1"/>
  <c r="M17" i="5" s="1"/>
  <c r="L17" i="5" a="1"/>
  <c r="L17" i="5" s="1"/>
  <c r="K17" i="5" a="1"/>
  <c r="K17" i="5" s="1"/>
  <c r="J17" i="5" a="1"/>
  <c r="J17" i="5" s="1"/>
  <c r="I17" i="5" a="1"/>
  <c r="I17" i="5" s="1"/>
  <c r="H17" i="5"/>
  <c r="M16" i="5" a="1"/>
  <c r="M16" i="5" s="1"/>
  <c r="L16" i="5" a="1"/>
  <c r="L16" i="5" s="1"/>
  <c r="K16" i="5" a="1"/>
  <c r="K16" i="5" s="1"/>
  <c r="J16" i="5" a="1"/>
  <c r="J16" i="5" s="1"/>
  <c r="I16" i="5" a="1"/>
  <c r="I16" i="5" s="1"/>
  <c r="H16" i="5"/>
  <c r="M15" i="5" a="1"/>
  <c r="M15" i="5" s="1"/>
  <c r="L15" i="5" a="1"/>
  <c r="L15" i="5" s="1"/>
  <c r="K15" i="5" a="1"/>
  <c r="K15" i="5" s="1"/>
  <c r="J15" i="5" a="1"/>
  <c r="J15" i="5" s="1"/>
  <c r="I15" i="5" a="1"/>
  <c r="I15" i="5" s="1"/>
  <c r="H15" i="5"/>
  <c r="M14" i="5" a="1"/>
  <c r="M14" i="5" s="1"/>
  <c r="L14" i="5" a="1"/>
  <c r="L14" i="5" s="1"/>
  <c r="K14" i="5" a="1"/>
  <c r="K14" i="5" s="1"/>
  <c r="J14" i="5" a="1"/>
  <c r="J14" i="5" s="1"/>
  <c r="I14" i="5" a="1"/>
  <c r="I14" i="5" s="1"/>
  <c r="H14" i="5"/>
  <c r="M13" i="5" a="1"/>
  <c r="M13" i="5" s="1"/>
  <c r="L13" i="5" a="1"/>
  <c r="L13" i="5" s="1"/>
  <c r="K13" i="5" a="1"/>
  <c r="K13" i="5" s="1"/>
  <c r="J13" i="5" a="1"/>
  <c r="J13" i="5" s="1"/>
  <c r="I13" i="5" a="1"/>
  <c r="I13" i="5" s="1"/>
  <c r="H13" i="5"/>
  <c r="M12" i="5" a="1"/>
  <c r="M12" i="5" s="1"/>
  <c r="L12" i="5" a="1"/>
  <c r="L12" i="5" s="1"/>
  <c r="K12" i="5" a="1"/>
  <c r="K12" i="5"/>
  <c r="J12" i="5" a="1"/>
  <c r="J12" i="5" s="1"/>
  <c r="I12" i="5" a="1"/>
  <c r="I12" i="5" s="1"/>
  <c r="H12" i="5"/>
  <c r="M11" i="5" a="1"/>
  <c r="M11" i="5" s="1"/>
  <c r="L11" i="5" a="1"/>
  <c r="L11" i="5"/>
  <c r="K11" i="5" a="1"/>
  <c r="K11" i="5" s="1"/>
  <c r="J11" i="5" a="1"/>
  <c r="J11" i="5" s="1"/>
  <c r="I11" i="5" a="1"/>
  <c r="I11" i="5" s="1"/>
  <c r="H11" i="5"/>
  <c r="M10" i="5" a="1"/>
  <c r="M10" i="5" s="1"/>
  <c r="L10" i="5" a="1"/>
  <c r="L10" i="5" s="1"/>
  <c r="K10" i="5" a="1"/>
  <c r="K10" i="5" s="1"/>
  <c r="J10" i="5" a="1"/>
  <c r="J10" i="5" s="1"/>
  <c r="I10" i="5" a="1"/>
  <c r="I10" i="5" s="1"/>
  <c r="H10" i="5"/>
  <c r="M9" i="5" a="1"/>
  <c r="M9" i="5" s="1"/>
  <c r="L9" i="5" a="1"/>
  <c r="L9" i="5" s="1"/>
  <c r="K9" i="5" a="1"/>
  <c r="K9" i="5"/>
  <c r="J9" i="5" a="1"/>
  <c r="J9" i="5"/>
  <c r="I9" i="5" a="1"/>
  <c r="I9" i="5" s="1"/>
  <c r="H9" i="5"/>
  <c r="M8" i="5" a="1"/>
  <c r="M8" i="5"/>
  <c r="L8" i="5" a="1"/>
  <c r="L8" i="5" s="1"/>
  <c r="K8" i="5" a="1"/>
  <c r="K8" i="5" s="1"/>
  <c r="J8" i="5" a="1"/>
  <c r="J8" i="5" s="1"/>
  <c r="I8" i="5" a="1"/>
  <c r="I8" i="5" s="1"/>
  <c r="H8" i="5"/>
  <c r="M7" i="5" a="1"/>
  <c r="M7" i="5" s="1"/>
  <c r="L7" i="5" a="1"/>
  <c r="L7" i="5" s="1"/>
  <c r="K7" i="5" a="1"/>
  <c r="K7" i="5" s="1"/>
  <c r="J7" i="5" a="1"/>
  <c r="J7" i="5" s="1"/>
  <c r="I7" i="5" a="1"/>
  <c r="I7" i="5" s="1"/>
  <c r="H7" i="5"/>
  <c r="M6" i="5" a="1"/>
  <c r="M6" i="5"/>
  <c r="L6" i="5" a="1"/>
  <c r="L6" i="5" s="1"/>
  <c r="K6" i="5" a="1"/>
  <c r="K6" i="5" s="1"/>
  <c r="J6" i="5" a="1"/>
  <c r="J6" i="5" s="1"/>
  <c r="I6" i="5" a="1"/>
  <c r="I6" i="5" s="1"/>
  <c r="H6" i="5"/>
  <c r="M5" i="5" a="1"/>
  <c r="M5" i="5" s="1"/>
  <c r="L5" i="5" a="1"/>
  <c r="L5" i="5" s="1"/>
  <c r="K5" i="5" a="1"/>
  <c r="K5" i="5" s="1"/>
  <c r="J5" i="5" a="1"/>
  <c r="J5" i="5" s="1"/>
  <c r="I5" i="5" a="1"/>
  <c r="I5" i="5" s="1"/>
  <c r="H5" i="5"/>
  <c r="M4" i="5" a="1"/>
  <c r="M4" i="5" s="1"/>
  <c r="L4" i="5" a="1"/>
  <c r="L4" i="5" s="1"/>
  <c r="K4" i="5" a="1"/>
  <c r="K4" i="5" s="1"/>
  <c r="J4" i="5" a="1"/>
  <c r="J4" i="5" s="1"/>
  <c r="I4" i="5" a="1"/>
  <c r="I4" i="5" s="1"/>
  <c r="H4" i="5"/>
  <c r="M3" i="5" a="1"/>
  <c r="M3" i="5" s="1"/>
  <c r="L3" i="5" a="1"/>
  <c r="L3" i="5" s="1"/>
  <c r="K3" i="5" a="1"/>
  <c r="K3" i="5" s="1"/>
  <c r="J3" i="5" a="1"/>
  <c r="J3" i="5" s="1"/>
  <c r="I3" i="5" a="1"/>
  <c r="I3" i="5" s="1"/>
  <c r="H3" i="5"/>
  <c r="G2" i="5"/>
  <c r="F2" i="5"/>
  <c r="E2" i="5"/>
  <c r="D2" i="5"/>
  <c r="C2" i="5"/>
  <c r="B2" i="5"/>
  <c r="A2" i="5"/>
  <c r="B2" i="4" a="1"/>
  <c r="B2" i="4" s="1"/>
  <c r="G17" i="6" l="1" a="1"/>
  <c r="G17" i="6" s="1"/>
  <c r="D8" i="6" a="1"/>
  <c r="D8" i="6" s="1"/>
  <c r="G8" i="6" a="1"/>
  <c r="G8" i="6" s="1"/>
  <c r="D18" i="6" a="1"/>
  <c r="D18" i="6" s="1"/>
  <c r="F104" i="6" a="1"/>
  <c r="F104" i="6" s="1"/>
  <c r="E13" i="6" a="1"/>
  <c r="E13" i="6" s="1"/>
  <c r="D72" i="6" a="1"/>
  <c r="D72" i="6" s="1"/>
  <c r="F3" i="6" a="1"/>
  <c r="F3" i="6" s="1"/>
  <c r="G18" i="6" a="1"/>
  <c r="G18" i="6" s="1"/>
  <c r="D52" i="6" a="1"/>
  <c r="D52" i="6" s="1"/>
  <c r="F98" i="6" a="1"/>
  <c r="F98" i="6" s="1"/>
  <c r="F101" i="6" a="1"/>
  <c r="F101" i="6" s="1"/>
  <c r="D116" i="6" a="1"/>
  <c r="D116" i="6" s="1"/>
  <c r="D119" i="6" a="1"/>
  <c r="D119" i="6" s="1"/>
  <c r="D143" i="6" a="1"/>
  <c r="D143" i="6" s="1"/>
  <c r="D153" i="6" a="1"/>
  <c r="D153" i="6" s="1"/>
  <c r="E8" i="6" a="1"/>
  <c r="E8" i="6" s="1"/>
  <c r="G13" i="6" a="1"/>
  <c r="G13" i="6" s="1"/>
  <c r="F19" i="6" a="1"/>
  <c r="F19" i="6" s="1"/>
  <c r="G23" i="6" a="1"/>
  <c r="G23" i="6" s="1"/>
  <c r="F23" i="6" a="1"/>
  <c r="F23" i="6" s="1"/>
  <c r="F26" i="6" a="1"/>
  <c r="F26" i="6" s="1"/>
  <c r="E26" i="6" a="1"/>
  <c r="E26" i="6" s="1"/>
  <c r="D26" i="6" a="1"/>
  <c r="D26" i="6" s="1"/>
  <c r="D40" i="6" a="1"/>
  <c r="D40" i="6" s="1"/>
  <c r="F43" i="6" a="1"/>
  <c r="F43" i="6" s="1"/>
  <c r="E43" i="6" a="1"/>
  <c r="E43" i="6" s="1"/>
  <c r="D43" i="6" a="1"/>
  <c r="D43" i="6" s="1"/>
  <c r="E52" i="6" a="1"/>
  <c r="E52" i="6" s="1"/>
  <c r="D55" i="6" a="1"/>
  <c r="D55" i="6" s="1"/>
  <c r="F61" i="6" a="1"/>
  <c r="F61" i="6" s="1"/>
  <c r="E61" i="6" a="1"/>
  <c r="E61" i="6" s="1"/>
  <c r="E72" i="6" a="1"/>
  <c r="E72" i="6" s="1"/>
  <c r="D75" i="6" a="1"/>
  <c r="D75" i="6" s="1"/>
  <c r="D78" i="6" a="1"/>
  <c r="D78" i="6" s="1"/>
  <c r="D110" i="6" a="1"/>
  <c r="D110" i="6" s="1"/>
  <c r="D113" i="6" a="1"/>
  <c r="D113" i="6" s="1"/>
  <c r="E119" i="6" a="1"/>
  <c r="E119" i="6" s="1"/>
  <c r="D125" i="6" a="1"/>
  <c r="D125" i="6" s="1"/>
  <c r="D140" i="6" a="1"/>
  <c r="D140" i="6" s="1"/>
  <c r="F143" i="6" a="1"/>
  <c r="F143" i="6" s="1"/>
  <c r="F156" i="6" a="1"/>
  <c r="F156" i="6" s="1"/>
  <c r="G14" i="6" a="1"/>
  <c r="G14" i="6" s="1"/>
  <c r="E40" i="6" a="1"/>
  <c r="E40" i="6" s="1"/>
  <c r="F52" i="6" a="1"/>
  <c r="F52" i="6" s="1"/>
  <c r="E55" i="6" a="1"/>
  <c r="E55" i="6" s="1"/>
  <c r="E113" i="6" a="1"/>
  <c r="E113" i="6" s="1"/>
  <c r="E116" i="6" a="1"/>
  <c r="E116" i="6" s="1"/>
  <c r="F119" i="6" a="1"/>
  <c r="F119" i="6" s="1"/>
  <c r="E134" i="6" a="1"/>
  <c r="E134" i="6" s="1"/>
  <c r="D134" i="6" a="1"/>
  <c r="D134" i="6" s="1"/>
  <c r="E153" i="6" a="1"/>
  <c r="E153" i="6" s="1"/>
  <c r="F55" i="6" a="1"/>
  <c r="F55" i="6" s="1"/>
  <c r="E75" i="6" a="1"/>
  <c r="E75" i="6" s="1"/>
  <c r="E99" i="6" a="1"/>
  <c r="E99" i="6" s="1"/>
  <c r="D99" i="6" a="1"/>
  <c r="D99" i="6" s="1"/>
  <c r="F116" i="6" a="1"/>
  <c r="F116" i="6" s="1"/>
  <c r="D19" i="6" a="1"/>
  <c r="D19" i="6" s="1"/>
  <c r="F40" i="6" a="1"/>
  <c r="F40" i="6" s="1"/>
  <c r="G72" i="6" a="1"/>
  <c r="G72" i="6" s="1"/>
  <c r="F75" i="6" a="1"/>
  <c r="F75" i="6" s="1"/>
  <c r="F78" i="6" a="1"/>
  <c r="F78" i="6" s="1"/>
  <c r="F110" i="6" a="1"/>
  <c r="F110" i="6" s="1"/>
  <c r="F113" i="6" a="1"/>
  <c r="F113" i="6" s="1"/>
  <c r="F125" i="6" a="1"/>
  <c r="F125" i="6" s="1"/>
  <c r="G144" i="6" a="1"/>
  <c r="G144" i="6" s="1"/>
  <c r="F144" i="6" a="1"/>
  <c r="F144" i="6" s="1"/>
  <c r="E144" i="6" a="1"/>
  <c r="E144" i="6" s="1"/>
  <c r="D144" i="6" a="1"/>
  <c r="D144" i="6" s="1"/>
  <c r="G153" i="6" a="1"/>
  <c r="G153" i="6" s="1"/>
  <c r="G15" i="6" a="1"/>
  <c r="G15" i="6" s="1"/>
  <c r="E19" i="6" a="1"/>
  <c r="E19" i="6" s="1"/>
  <c r="E23" i="6" a="1"/>
  <c r="E23" i="6" s="1"/>
  <c r="G26" i="6" a="1"/>
  <c r="G26" i="6" s="1"/>
  <c r="E32" i="6" a="1"/>
  <c r="E32" i="6" s="1"/>
  <c r="F37" i="6" a="1"/>
  <c r="F37" i="6" s="1"/>
  <c r="G43" i="6" a="1"/>
  <c r="G43" i="6" s="1"/>
  <c r="D61" i="6" a="1"/>
  <c r="D61" i="6" s="1"/>
  <c r="E67" i="6" a="1"/>
  <c r="E67" i="6" s="1"/>
  <c r="G73" i="6" a="1"/>
  <c r="G73" i="6" s="1"/>
  <c r="F73" i="6" a="1"/>
  <c r="F73" i="6" s="1"/>
  <c r="E81" i="6" a="1"/>
  <c r="E81" i="6" s="1"/>
  <c r="E87" i="6" a="1"/>
  <c r="E87" i="6" s="1"/>
  <c r="D90" i="6" a="1"/>
  <c r="D90" i="6" s="1"/>
  <c r="E93" i="6" a="1"/>
  <c r="E93" i="6" s="1"/>
  <c r="E96" i="6" a="1"/>
  <c r="E96" i="6" s="1"/>
  <c r="D105" i="6" a="1"/>
  <c r="D105" i="6" s="1"/>
  <c r="E128" i="6" a="1"/>
  <c r="E128" i="6" s="1"/>
  <c r="F131" i="6" a="1"/>
  <c r="F131" i="6" s="1"/>
  <c r="F134" i="6" a="1"/>
  <c r="F134" i="6" s="1"/>
  <c r="F140" i="6" a="1"/>
  <c r="F140" i="6" s="1"/>
  <c r="G154" i="6" a="1"/>
  <c r="G154" i="6" s="1"/>
  <c r="F154" i="6" a="1"/>
  <c r="F154" i="6" s="1"/>
  <c r="E154" i="6" a="1"/>
  <c r="E154" i="6" s="1"/>
  <c r="G143" i="6" a="1"/>
  <c r="G143" i="6" s="1"/>
  <c r="D4" i="6" a="1"/>
  <c r="D4" i="6" s="1"/>
  <c r="G10" i="6" a="1"/>
  <c r="G10" i="6" s="1"/>
  <c r="G19" i="6" a="1"/>
  <c r="G19" i="6" s="1"/>
  <c r="D35" i="6" a="1"/>
  <c r="D35" i="6" s="1"/>
  <c r="F56" i="6" a="1"/>
  <c r="F56" i="6" s="1"/>
  <c r="E56" i="6" a="1"/>
  <c r="E56" i="6" s="1"/>
  <c r="G61" i="6" a="1"/>
  <c r="G61" i="6" s="1"/>
  <c r="F67" i="6" a="1"/>
  <c r="F67" i="6" s="1"/>
  <c r="F81" i="6" a="1"/>
  <c r="F81" i="6" s="1"/>
  <c r="F87" i="6" a="1"/>
  <c r="F87" i="6" s="1"/>
  <c r="E90" i="6" a="1"/>
  <c r="E90" i="6" s="1"/>
  <c r="F93" i="6" a="1"/>
  <c r="F93" i="6" s="1"/>
  <c r="F96" i="6" a="1"/>
  <c r="F96" i="6" s="1"/>
  <c r="F99" i="6" a="1"/>
  <c r="F99" i="6" s="1"/>
  <c r="E105" i="6" a="1"/>
  <c r="E105" i="6" s="1"/>
  <c r="G110" i="6" a="1"/>
  <c r="G110" i="6" s="1"/>
  <c r="G140" i="6" a="1"/>
  <c r="G140" i="6" s="1"/>
  <c r="E104" i="6" a="1"/>
  <c r="E104" i="6" s="1"/>
  <c r="D104" i="6" a="1"/>
  <c r="D104" i="6" s="1"/>
  <c r="G5" i="6" a="1"/>
  <c r="G5" i="6" s="1"/>
  <c r="G37" i="6" a="1"/>
  <c r="G37" i="6" s="1"/>
  <c r="E76" i="6" a="1"/>
  <c r="E76" i="6" s="1"/>
  <c r="D76" i="6" a="1"/>
  <c r="D76" i="6" s="1"/>
  <c r="F90" i="6" a="1"/>
  <c r="F90" i="6" s="1"/>
  <c r="F105" i="6" a="1"/>
  <c r="F105" i="6" s="1"/>
  <c r="D108" i="6" a="1"/>
  <c r="D108" i="6" s="1"/>
  <c r="G111" i="6" a="1"/>
  <c r="G111" i="6" s="1"/>
  <c r="F111" i="6" a="1"/>
  <c r="F111" i="6" s="1"/>
  <c r="E114" i="6" a="1"/>
  <c r="E114" i="6" s="1"/>
  <c r="D114" i="6" a="1"/>
  <c r="D114" i="6" s="1"/>
  <c r="F128" i="6" a="1"/>
  <c r="F128" i="6" s="1"/>
  <c r="G134" i="6" a="1"/>
  <c r="G134" i="6" s="1"/>
  <c r="G141" i="6" a="1"/>
  <c r="G141" i="6" s="1"/>
  <c r="F141" i="6" a="1"/>
  <c r="F141" i="6" s="1"/>
  <c r="G32" i="6" a="1"/>
  <c r="G32" i="6" s="1"/>
  <c r="E35" i="6" a="1"/>
  <c r="E35" i="6" s="1"/>
  <c r="F38" i="6" a="1"/>
  <c r="F38" i="6" s="1"/>
  <c r="E38" i="6" a="1"/>
  <c r="E38" i="6" s="1"/>
  <c r="D38" i="6" a="1"/>
  <c r="D38" i="6" s="1"/>
  <c r="G81" i="6" a="1"/>
  <c r="G81" i="6" s="1"/>
  <c r="G99" i="6" a="1"/>
  <c r="G99" i="6" s="1"/>
  <c r="G11" i="6" a="1"/>
  <c r="G11" i="6" s="1"/>
  <c r="E11" i="6" a="1"/>
  <c r="E11" i="6" s="1"/>
  <c r="D11" i="6" a="1"/>
  <c r="D11" i="6" s="1"/>
  <c r="D44" i="6" a="1"/>
  <c r="D44" i="6" s="1"/>
  <c r="E70" i="6" a="1"/>
  <c r="E70" i="6" s="1"/>
  <c r="E94" i="6" a="1"/>
  <c r="E94" i="6" s="1"/>
  <c r="D94" i="6" a="1"/>
  <c r="D94" i="6" s="1"/>
  <c r="E108" i="6" a="1"/>
  <c r="E108" i="6" s="1"/>
  <c r="D6" i="6" a="1"/>
  <c r="D6" i="6" s="1"/>
  <c r="G6" i="6" a="1"/>
  <c r="G6" i="6" s="1"/>
  <c r="F6" i="6" a="1"/>
  <c r="F6" i="6" s="1"/>
  <c r="D27" i="6" a="1"/>
  <c r="D27" i="6" s="1"/>
  <c r="F35" i="6" a="1"/>
  <c r="F35" i="6" s="1"/>
  <c r="E44" i="6" a="1"/>
  <c r="E44" i="6" s="1"/>
  <c r="D56" i="6" a="1"/>
  <c r="D56" i="6" s="1"/>
  <c r="G91" i="6" a="1"/>
  <c r="G91" i="6" s="1"/>
  <c r="F91" i="6" a="1"/>
  <c r="F91" i="6" s="1"/>
  <c r="D111" i="6" a="1"/>
  <c r="D111" i="6" s="1"/>
  <c r="F114" i="6" a="1"/>
  <c r="F114" i="6" s="1"/>
  <c r="F129" i="6" a="1"/>
  <c r="F129" i="6" s="1"/>
  <c r="E129" i="6" a="1"/>
  <c r="E129" i="6" s="1"/>
  <c r="D129" i="6" a="1"/>
  <c r="D129" i="6" s="1"/>
  <c r="D141" i="6" a="1"/>
  <c r="D141" i="6" s="1"/>
  <c r="D161" i="6" a="1"/>
  <c r="D161" i="6" s="1"/>
  <c r="E16" i="6" a="1"/>
  <c r="E16" i="6" s="1"/>
  <c r="E50" i="6" a="1"/>
  <c r="E50" i="6" s="1"/>
  <c r="F70" i="6" a="1"/>
  <c r="F70" i="6" s="1"/>
  <c r="F76" i="6" a="1"/>
  <c r="F76" i="6" s="1"/>
  <c r="F108" i="6" a="1"/>
  <c r="F108" i="6" s="1"/>
  <c r="E111" i="6" a="1"/>
  <c r="E111" i="6" s="1"/>
  <c r="D135" i="6" a="1"/>
  <c r="D135" i="6" s="1"/>
  <c r="E141" i="6" a="1"/>
  <c r="E141" i="6" s="1"/>
  <c r="D145" i="6" a="1"/>
  <c r="D145" i="6" s="1"/>
  <c r="F151" i="6" a="1"/>
  <c r="F151" i="6" s="1"/>
  <c r="F161" i="6" a="1"/>
  <c r="F161" i="6" s="1"/>
  <c r="E27" i="6" a="1"/>
  <c r="E27" i="6" s="1"/>
  <c r="G38" i="6" a="1"/>
  <c r="G38" i="6" s="1"/>
  <c r="F44" i="6" a="1"/>
  <c r="F44" i="6" s="1"/>
  <c r="F47" i="6" a="1"/>
  <c r="F47" i="6" s="1"/>
  <c r="G56" i="6" a="1"/>
  <c r="G56" i="6" s="1"/>
  <c r="E62" i="6" a="1"/>
  <c r="E62" i="6" s="1"/>
  <c r="D82" i="6" a="1"/>
  <c r="D82" i="6" s="1"/>
  <c r="D88" i="6" a="1"/>
  <c r="D88" i="6" s="1"/>
  <c r="F94" i="6" a="1"/>
  <c r="F94" i="6" s="1"/>
  <c r="G114" i="6" a="1"/>
  <c r="G114" i="6" s="1"/>
  <c r="D123" i="6" a="1"/>
  <c r="D123" i="6" s="1"/>
  <c r="E145" i="6" a="1"/>
  <c r="E145" i="6" s="1"/>
  <c r="D148" i="6" a="1"/>
  <c r="D148" i="6" s="1"/>
  <c r="D158" i="6" a="1"/>
  <c r="D158" i="6" s="1"/>
  <c r="D21" i="6" a="1"/>
  <c r="D21" i="6" s="1"/>
  <c r="F27" i="6" a="1"/>
  <c r="F27" i="6" s="1"/>
  <c r="E30" i="6" a="1"/>
  <c r="E30" i="6" s="1"/>
  <c r="D33" i="6" a="1"/>
  <c r="D33" i="6" s="1"/>
  <c r="F50" i="6" a="1"/>
  <c r="F50" i="6" s="1"/>
  <c r="G70" i="6" a="1"/>
  <c r="G70" i="6" s="1"/>
  <c r="G76" i="6" a="1"/>
  <c r="G76" i="6" s="1"/>
  <c r="E85" i="6" a="1"/>
  <c r="E85" i="6" s="1"/>
  <c r="E88" i="6" a="1"/>
  <c r="E88" i="6" s="1"/>
  <c r="D91" i="6" a="1"/>
  <c r="D91" i="6" s="1"/>
  <c r="D100" i="6" a="1"/>
  <c r="D100" i="6" s="1"/>
  <c r="D103" i="6" a="1"/>
  <c r="D103" i="6" s="1"/>
  <c r="D106" i="6" a="1"/>
  <c r="D106" i="6" s="1"/>
  <c r="E123" i="6" a="1"/>
  <c r="E123" i="6" s="1"/>
  <c r="E135" i="6" a="1"/>
  <c r="E135" i="6" s="1"/>
  <c r="E138" i="6" a="1"/>
  <c r="E138" i="6" s="1"/>
  <c r="E148" i="6" a="1"/>
  <c r="E148" i="6" s="1"/>
  <c r="G161" i="6" a="1"/>
  <c r="G161" i="6" s="1"/>
  <c r="E6" i="6" a="1"/>
  <c r="E6" i="6" s="1"/>
  <c r="F30" i="6" a="1"/>
  <c r="F30" i="6" s="1"/>
  <c r="E33" i="6" a="1"/>
  <c r="E33" i="6" s="1"/>
  <c r="G47" i="6" a="1"/>
  <c r="G47" i="6" s="1"/>
  <c r="F62" i="6" a="1"/>
  <c r="F62" i="6" s="1"/>
  <c r="E65" i="6" a="1"/>
  <c r="E65" i="6" s="1"/>
  <c r="F71" i="6" a="1"/>
  <c r="F71" i="6" s="1"/>
  <c r="E71" i="6" a="1"/>
  <c r="E71" i="6" s="1"/>
  <c r="D71" i="6" a="1"/>
  <c r="D71" i="6" s="1"/>
  <c r="E82" i="6" a="1"/>
  <c r="E82" i="6" s="1"/>
  <c r="E91" i="6" a="1"/>
  <c r="E91" i="6" s="1"/>
  <c r="G94" i="6" a="1"/>
  <c r="G94" i="6" s="1"/>
  <c r="E100" i="6" a="1"/>
  <c r="E100" i="6" s="1"/>
  <c r="E103" i="6" a="1"/>
  <c r="E103" i="6" s="1"/>
  <c r="F123" i="6" a="1"/>
  <c r="F123" i="6" s="1"/>
  <c r="G129" i="6" a="1"/>
  <c r="G129" i="6" s="1"/>
  <c r="F135" i="6" a="1"/>
  <c r="F135" i="6" s="1"/>
  <c r="F138" i="6" a="1"/>
  <c r="F138" i="6" s="1"/>
  <c r="F145" i="6" a="1"/>
  <c r="F145" i="6" s="1"/>
  <c r="F148" i="6" a="1"/>
  <c r="F148" i="6" s="1"/>
  <c r="E158" i="6" a="1"/>
  <c r="E158" i="6" s="1"/>
  <c r="G162" i="6" a="1"/>
  <c r="G162" i="6" s="1"/>
  <c r="F162" i="6" a="1"/>
  <c r="F162" i="6" s="1"/>
  <c r="E162" i="6" a="1"/>
  <c r="E162" i="6" s="1"/>
  <c r="D162" i="6" a="1"/>
  <c r="D162" i="6" s="1"/>
  <c r="D12" i="6" a="1"/>
  <c r="D12" i="6" s="1"/>
  <c r="D17" i="6" a="1"/>
  <c r="D17" i="6" s="1"/>
  <c r="F21" i="6" a="1"/>
  <c r="F21" i="6" s="1"/>
  <c r="F33" i="6" a="1"/>
  <c r="F33" i="6" s="1"/>
  <c r="F65" i="6" a="1"/>
  <c r="F65" i="6" s="1"/>
  <c r="F85" i="6" a="1"/>
  <c r="F85" i="6" s="1"/>
  <c r="F88" i="6" a="1"/>
  <c r="F88" i="6" s="1"/>
  <c r="E106" i="6" a="1"/>
  <c r="E106" i="6" s="1"/>
  <c r="F158" i="6" a="1"/>
  <c r="F158" i="6" s="1"/>
  <c r="E12" i="6" a="1"/>
  <c r="E12" i="6" s="1"/>
  <c r="G30" i="6" a="1"/>
  <c r="G30" i="6" s="1"/>
  <c r="D39" i="6" a="1"/>
  <c r="D39" i="6" s="1"/>
  <c r="F51" i="6" a="1"/>
  <c r="F51" i="6" s="1"/>
  <c r="E51" i="6" a="1"/>
  <c r="E51" i="6" s="1"/>
  <c r="D51" i="6" a="1"/>
  <c r="D51" i="6" s="1"/>
  <c r="G82" i="6" a="1"/>
  <c r="G82" i="6" s="1"/>
  <c r="F106" i="6" a="1"/>
  <c r="F106" i="6" s="1"/>
  <c r="G138" i="6" a="1"/>
  <c r="G138" i="6" s="1"/>
  <c r="F17" i="6" a="1"/>
  <c r="F17" i="6" s="1"/>
  <c r="F31" i="6" a="1"/>
  <c r="F31" i="6" s="1"/>
  <c r="E31" i="6" a="1"/>
  <c r="E31" i="6" s="1"/>
  <c r="D31" i="6" a="1"/>
  <c r="D31" i="6" s="1"/>
  <c r="F124" i="6" a="1"/>
  <c r="F124" i="6" s="1"/>
  <c r="E124" i="6" a="1"/>
  <c r="E124" i="6" s="1"/>
  <c r="D124" i="6" a="1"/>
  <c r="D124" i="6" s="1"/>
  <c r="F139" i="6" a="1"/>
  <c r="F139" i="6" s="1"/>
  <c r="E139" i="6" a="1"/>
  <c r="E139" i="6" s="1"/>
  <c r="D139" i="6" a="1"/>
  <c r="D139" i="6" s="1"/>
  <c r="G149" i="6" a="1"/>
  <c r="G149" i="6" s="1"/>
  <c r="F149" i="6" a="1"/>
  <c r="F149" i="6" s="1"/>
  <c r="E149" i="6" a="1"/>
  <c r="E149" i="6" s="1"/>
  <c r="D149" i="6" a="1"/>
  <c r="D149" i="6" s="1"/>
  <c r="G159" i="6" a="1"/>
  <c r="G159" i="6" s="1"/>
  <c r="F159" i="6" a="1"/>
  <c r="F159" i="6" s="1"/>
  <c r="E159" i="6" a="1"/>
  <c r="E159" i="6" s="1"/>
  <c r="D7" i="6" a="1"/>
  <c r="D7" i="6" s="1"/>
  <c r="F12" i="6" a="1"/>
  <c r="F12" i="6" s="1"/>
  <c r="F66" i="6" a="1"/>
  <c r="F66" i="6" s="1"/>
  <c r="E66" i="6" a="1"/>
  <c r="E66" i="6" s="1"/>
  <c r="F86" i="6" a="1"/>
  <c r="F86" i="6" s="1"/>
  <c r="E86" i="6" a="1"/>
  <c r="E86" i="6" s="1"/>
  <c r="G16" i="6" a="1"/>
  <c r="G16" i="6" s="1"/>
  <c r="G20" i="6" a="1"/>
  <c r="G20" i="6" s="1"/>
  <c r="D152" i="6" a="1"/>
  <c r="D152" i="6" s="1"/>
  <c r="D157" i="6" a="1"/>
  <c r="D157" i="6" s="1"/>
  <c r="D16" i="6" a="1"/>
  <c r="D16" i="6" s="1"/>
  <c r="G21" i="6" a="1"/>
  <c r="G21" i="6" s="1"/>
  <c r="F8" i="6" a="1"/>
  <c r="F8" i="6" s="1"/>
  <c r="F13" i="6" a="1"/>
  <c r="F13" i="6" s="1"/>
  <c r="E21" i="6" a="1"/>
  <c r="E21" i="6" s="1"/>
  <c r="F11" i="6" a="1"/>
  <c r="F11" i="6" s="1"/>
  <c r="F16" i="6" a="1"/>
  <c r="F16" i="6" s="1"/>
  <c r="D9" i="6" a="1"/>
  <c r="D9" i="6" s="1"/>
  <c r="D14" i="6" a="1"/>
  <c r="D14" i="6" s="1"/>
  <c r="E9" i="6" a="1"/>
  <c r="E9" i="6" s="1"/>
  <c r="E14" i="6" a="1"/>
  <c r="E14" i="6" s="1"/>
  <c r="F9" i="6" a="1"/>
  <c r="F9" i="6" s="1"/>
  <c r="F14" i="6" a="1"/>
  <c r="F14" i="6" s="1"/>
  <c r="D5" i="6" a="1"/>
  <c r="D5" i="6" s="1"/>
  <c r="D20" i="6" a="1"/>
  <c r="D20" i="6" s="1"/>
  <c r="E5" i="6" a="1"/>
  <c r="E5" i="6" s="1"/>
  <c r="E20" i="6" a="1"/>
  <c r="E20" i="6" s="1"/>
  <c r="D10" i="6" a="1"/>
  <c r="D10" i="6" s="1"/>
  <c r="D15" i="6" a="1"/>
  <c r="D15" i="6" s="1"/>
  <c r="F5" i="6" a="1"/>
  <c r="F5" i="6" s="1"/>
  <c r="E15" i="6" a="1"/>
  <c r="E15" i="6" s="1"/>
  <c r="F20" i="6" a="1"/>
  <c r="F20" i="6" s="1"/>
  <c r="E10" i="6" a="1"/>
  <c r="E10" i="6" s="1"/>
  <c r="F10" i="6" a="1"/>
  <c r="F10" i="6" s="1"/>
  <c r="F15" i="6" a="1"/>
  <c r="F15" i="6" s="1"/>
  <c r="E18" i="6" a="1"/>
  <c r="E18" i="6" s="1"/>
  <c r="E4" i="6" a="1"/>
  <c r="E4" i="6" s="1"/>
  <c r="F4" i="6" a="1"/>
  <c r="F4" i="6" s="1"/>
  <c r="G3" i="6" a="1"/>
  <c r="G3" i="6" s="1"/>
  <c r="D3" i="6" a="1"/>
  <c r="D3" i="6" s="1"/>
  <c r="E3" i="6" a="1"/>
  <c r="E3" i="6" s="1"/>
  <c r="J2" i="5" a="1"/>
  <c r="J2" i="5" s="1"/>
  <c r="M2" i="5" a="1"/>
  <c r="M2" i="5" s="1"/>
  <c r="L2" i="5" a="1"/>
  <c r="L2" i="5" s="1"/>
  <c r="E2" i="6" s="1" a="1"/>
  <c r="E2" i="6" s="1"/>
  <c r="K2" i="5" a="1"/>
  <c r="K2" i="5" s="1"/>
  <c r="D2" i="6" s="1" a="1"/>
  <c r="D2" i="6" s="1"/>
  <c r="I2" i="5" a="1"/>
  <c r="I2" i="5" s="1"/>
  <c r="E2" i="4"/>
  <c r="D2" i="4" a="1"/>
  <c r="D2" i="4" s="1"/>
  <c r="F2" i="6" l="1" a="1"/>
  <c r="F2" i="6" s="1"/>
  <c r="B2" i="7" s="1" a="1"/>
  <c r="B2" i="7" s="1"/>
  <c r="H2" i="5"/>
  <c r="F2" i="7" l="1" a="1"/>
  <c r="F2" i="7" s="1"/>
  <c r="E2" i="7"/>
  <c r="D2" i="7" a="1"/>
  <c r="D2" i="7" s="1"/>
  <c r="C2" i="7" a="1"/>
  <c r="C2" i="7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0"/>
        </ext>
      </extLst>
    </bk>
  </futureMetadata>
  <cellMetadata count="1">
    <bk>
      <rc t="1" v="0"/>
    </bk>
  </cellMetadata>
  <valueMetadata count="1">
    <bk>
      <rc t="2" v="0"/>
    </bk>
  </valueMetadata>
</metadata>
</file>

<file path=xl/sharedStrings.xml><?xml version="1.0" encoding="utf-8"?>
<sst xmlns="http://schemas.openxmlformats.org/spreadsheetml/2006/main" count="138" uniqueCount="103">
  <si>
    <t>Sheet Name</t>
  </si>
  <si>
    <t xml:space="preserve">Guideline </t>
  </si>
  <si>
    <t xml:space="preserve">Reason </t>
  </si>
  <si>
    <t>Initial Entry</t>
  </si>
  <si>
    <t>Copy paste the Data in the exact format as derived from the Altium and the S.No Column</t>
  </si>
  <si>
    <t>Make sure Every row in the Initial Entry Sheet must have a unique serial number</t>
  </si>
  <si>
    <t>All the sheets are derived from Intial entry have dependencies on S.No and MPN number
MPN number dependecy - Master sheet
S.no Dependency - FInal Master Sheet</t>
  </si>
  <si>
    <t xml:space="preserve">ADDING NEW MPN OR ADDIITONAL COMPONENT MUST BE MADE ENTRY N THE INITIAL ENTRY </t>
  </si>
  <si>
    <t>Any new component that is to be added must be added in the Initial_entry sheet only 
ONLY MODIFICATIONS CAN BE ADDED IN INITIAL COMPONENT AGGREGATOR</t>
  </si>
  <si>
    <t>Initial_Component_aggregator</t>
  </si>
  <si>
    <t>The columns Change_Considerations
Probable_MPN
Finalized_MPN
Changed_Manufacturer
Changed_Description
Comments regd the new MPN regd the features
Product_link
Are editable</t>
  </si>
  <si>
    <t>Sheets that shouldnt be edited</t>
  </si>
  <si>
    <t>Master_Sheet; Final_Master_Sheet</t>
  </si>
  <si>
    <t>S.no</t>
  </si>
  <si>
    <t>Board</t>
  </si>
  <si>
    <t>Designator</t>
  </si>
  <si>
    <t>Manufacturer</t>
  </si>
  <si>
    <t>Description</t>
  </si>
  <si>
    <t>MPN</t>
  </si>
  <si>
    <t>Quantity</t>
  </si>
  <si>
    <t>S.No</t>
  </si>
  <si>
    <t>Initial_MPN</t>
  </si>
  <si>
    <t>Initial_Manufacturer</t>
  </si>
  <si>
    <t>Quantity Per Board</t>
  </si>
  <si>
    <t>Change_Considerations</t>
  </si>
  <si>
    <t>Probable_MPN</t>
  </si>
  <si>
    <t>Finalized_MPN</t>
  </si>
  <si>
    <t>Changed_Manufacturer</t>
  </si>
  <si>
    <t>Changed_Description</t>
  </si>
  <si>
    <t>Comments regd the new MPN regd the features</t>
  </si>
  <si>
    <t>Product_link</t>
  </si>
  <si>
    <t>Change_index</t>
  </si>
  <si>
    <t>Change comments</t>
  </si>
  <si>
    <t>Finalized_Manufacturer</t>
  </si>
  <si>
    <t>Finalized_Description</t>
  </si>
  <si>
    <t>Quantity_per_board</t>
  </si>
  <si>
    <t>Existing_Quantity</t>
  </si>
  <si>
    <t>Wanna_still_buy</t>
  </si>
  <si>
    <t>How_many</t>
  </si>
  <si>
    <t>1, 2</t>
  </si>
  <si>
    <t>ON Semiconductor</t>
  </si>
  <si>
    <t>GAN3R2-100CBE                                                                                                                                                                                                                                                     100 V, 3.2 mOhm Gallium Nitride (GaN) FET in a 3.5 mm x 2.13 mm Wafer Level Chip</t>
  </si>
  <si>
    <t>GAN3R2-100CBE</t>
  </si>
  <si>
    <t>Battery</t>
  </si>
  <si>
    <t>TE Connectivity</t>
  </si>
  <si>
    <t>CONN HEADER VERT 2POS 4.14MM</t>
  </si>
  <si>
    <t>1-770166-1</t>
  </si>
  <si>
    <t>C1</t>
  </si>
  <si>
    <t>Yageo</t>
  </si>
  <si>
    <t>Chip Capacitor, 10 pF, +/- 5%, 50 V, -55 to 125 degC, 0402 (1005 Metric), RoHS, Tape and Reel</t>
  </si>
  <si>
    <t>CC0402JRNPO9BN100</t>
  </si>
  <si>
    <t>C2</t>
  </si>
  <si>
    <t>Samsung</t>
  </si>
  <si>
    <t>CAP CER 1UF 25V X7R 0603</t>
  </si>
  <si>
    <t>CL10B105KA8NNNC</t>
  </si>
  <si>
    <t>C3, C7, C10</t>
  </si>
  <si>
    <t>TDK</t>
  </si>
  <si>
    <t>Multilayer Ceramic Capacitors 100nF ±10%  X7R SMD 1812</t>
  </si>
  <si>
    <t>C4532X7R2J104K230KA</t>
  </si>
  <si>
    <t>C4</t>
  </si>
  <si>
    <t>Cap Ceramic 100nF 25V X7R 10% Pad SMD 0603 +125°C Automotive T/R</t>
  </si>
  <si>
    <t>CGA3E2X7R1E104K080AA</t>
  </si>
  <si>
    <t>C5</t>
  </si>
  <si>
    <t>Cap Ceramic 470nF 25V X5R ±10% SMD 0402 +85°C Paper T/R</t>
  </si>
  <si>
    <t>CL05A474KA5NNNC</t>
  </si>
  <si>
    <t>C6, C9</t>
  </si>
  <si>
    <t>Multilayer Ceramic Capacitors 1uF ±10% 25V X5R SMD 0402</t>
  </si>
  <si>
    <t>CGB2A1X5R1E105K033BC</t>
  </si>
  <si>
    <t>C8</t>
  </si>
  <si>
    <t>YAGEO</t>
  </si>
  <si>
    <t>CAP CER 0.1UF 25V X7R 0402</t>
  </si>
  <si>
    <t>CC0402KRX7R8BB104</t>
  </si>
  <si>
    <t>Connector</t>
  </si>
  <si>
    <t>Molex</t>
  </si>
  <si>
    <t>CONN HEADER VERT 6POS 2.54MM</t>
  </si>
  <si>
    <t>22-28-4060</t>
  </si>
  <si>
    <t>D1</t>
  </si>
  <si>
    <t>DIODE GEN PURP 400V 1A SMA</t>
  </si>
  <si>
    <t>ES1J</t>
  </si>
  <si>
    <t>IC1</t>
  </si>
  <si>
    <t>Integrated Circuit</t>
  </si>
  <si>
    <t>NCP51820</t>
  </si>
  <si>
    <t>R1, R5</t>
  </si>
  <si>
    <t>Yageo / Phycomp</t>
  </si>
  <si>
    <t>RES, SMD, 1/16 W</t>
  </si>
  <si>
    <t>RC0402FR−0710KL</t>
  </si>
  <si>
    <t>R2</t>
  </si>
  <si>
    <t>RC0402FR-0710KL</t>
  </si>
  <si>
    <t>R3</t>
  </si>
  <si>
    <t>Res Thick Film 0402 2Ω 1% 0.063W ±300ppm/°C Molded SMD T/R</t>
  </si>
  <si>
    <t>RC1005F2R0CS</t>
  </si>
  <si>
    <t>R4</t>
  </si>
  <si>
    <t>RES, SMD, 1/10 W</t>
  </si>
  <si>
    <t>RC0603FR−0760K4L</t>
  </si>
  <si>
    <t>R6, R8</t>
  </si>
  <si>
    <t>Chip Resistor, 10 Ohm, +/- 1%, 0.1 W, -55 to 155 degC, 0603 (1608 Metric), RoHS, Tape and Reel</t>
  </si>
  <si>
    <t>RC0603FR−0710RL</t>
  </si>
  <si>
    <t>R7, R9</t>
  </si>
  <si>
    <t>RC0603FR−072RL</t>
  </si>
  <si>
    <t>2R 0.1W 1% 0603 (1608 Metric)  SMD</t>
  </si>
  <si>
    <t>R10</t>
  </si>
  <si>
    <t>Chip Resistor, 0 Ohm, +/- 5%, 0.1 W, -55 to 155 degC, 0603 (1608 Metric), RoHS, Tape and Reel</t>
  </si>
  <si>
    <t>RC0603JR−070RL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</si>
</sst>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Protection="1">
      <protection locked="0"/>
    </xf>
    <xf numFmtId="0" fontId="0" fillId="0" borderId="0" xfId="0" applyAlignment="1">
      <alignment wrapText="1"/>
    </xf>
    <xf numFmtId="0" fontId="0" fillId="0" borderId="0" xfId="0" applyAlignment="1" applyProtection="1">
      <alignment wrapText="1"/>
      <protection locked="0"/>
    </xf>
    <xf numFmtId="0" fontId="0" fillId="2" borderId="1" xfId="0" applyFill="1" applyBorder="1"/>
    <xf numFmtId="0" fontId="0" fillId="2" borderId="1" xfId="0" applyFill="1" applyBorder="1" applyAlignment="1">
      <alignment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0" fillId="0" borderId="0" xfId="0" applyAlignment="1" applyProtection="1">
      <alignment vertical="center" wrapText="1"/>
      <protection locked="0"/>
    </xf>
  </cellXfs>
  <cellStyles count="1">
    <cellStyle name="Normal" xfId="0" builtinId="0"/>
  </cellStyles>
  <dxfs count="5">
    <dxf>
      <fill>
        <patternFill patternType="solid">
          <bgColor rgb="FFFFC7CE"/>
        </patternFill>
      </fill>
    </dxf>
    <dxf>
      <fill>
        <patternFill patternType="solid">
          <bgColor rgb="FFFFC7CE"/>
        </patternFill>
      </fill>
    </dxf>
    <dxf>
      <font>
        <color auto="1"/>
      </font>
      <fill>
        <patternFill patternType="solid">
          <bgColor theme="4" tint="0.39997558519241921"/>
        </patternFill>
      </fill>
    </dxf>
    <dxf>
      <fill>
        <patternFill patternType="solid">
          <bgColor theme="9" tint="0.39997558519241921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mruColors>
      <color rgb="FFFFC7C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microsoft.com/office/2017/06/relationships/rdRichValueStructure" Target="richData/rdrichvaluestructure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microsoft.com/office/2017/06/relationships/rdRichValue" Target="richData/rdrichvalue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microsoft.com/office/2017/06/relationships/rdRichValueTypes" Target="richData/rdRichValueTyp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aster_component_lis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ble 1"/>
    </sheetNames>
    <sheetDataSet>
      <sheetData sheetId="0">
        <row r="1">
          <cell r="C1" t="str">
            <v>MPN</v>
          </cell>
          <cell r="F1" t="str">
            <v>Quantity</v>
          </cell>
        </row>
        <row r="2">
          <cell r="C2" t="str">
            <v>C0805C475K3PAC7210</v>
          </cell>
          <cell r="F2">
            <v>1000</v>
          </cell>
        </row>
        <row r="3">
          <cell r="C3" t="str">
            <v>RC0603FR-071KL</v>
          </cell>
          <cell r="F3">
            <v>100</v>
          </cell>
        </row>
        <row r="4">
          <cell r="C4" t="str">
            <v>RC0603FR-0710KL</v>
          </cell>
          <cell r="F4">
            <v>1000</v>
          </cell>
        </row>
        <row r="5">
          <cell r="C5" t="str">
            <v>RC0603JR-0710RL</v>
          </cell>
          <cell r="F5">
            <v>1000</v>
          </cell>
        </row>
        <row r="6">
          <cell r="C6" t="str">
            <v>C0603C102K1RAC7411</v>
          </cell>
          <cell r="F6">
            <v>1000</v>
          </cell>
        </row>
        <row r="7">
          <cell r="C7" t="str">
            <v>RC1206FR-07100KL</v>
          </cell>
          <cell r="F7">
            <v>1000</v>
          </cell>
        </row>
        <row r="8">
          <cell r="C8" t="str">
            <v>ESL107M035AE3AA</v>
          </cell>
          <cell r="F8">
            <v>200</v>
          </cell>
        </row>
        <row r="9">
          <cell r="C9" t="str">
            <v>PT1206FR-7W0R5L</v>
          </cell>
          <cell r="F9">
            <v>200</v>
          </cell>
        </row>
        <row r="10">
          <cell r="C10" t="str">
            <v>RC0805FR-075K1L</v>
          </cell>
          <cell r="F10">
            <v>1000</v>
          </cell>
        </row>
        <row r="11">
          <cell r="C11" t="str">
            <v>C1808C104KCRACTU</v>
          </cell>
          <cell r="F11">
            <v>100</v>
          </cell>
        </row>
        <row r="12">
          <cell r="C12" t="str">
            <v>ESY108M035AL4AA</v>
          </cell>
          <cell r="F12">
            <v>100</v>
          </cell>
        </row>
        <row r="13">
          <cell r="C13" t="str">
            <v>LTST-C191KFKT</v>
          </cell>
          <cell r="F13">
            <v>100</v>
          </cell>
        </row>
        <row r="14">
          <cell r="C14" t="str">
            <v>C1808V104KBRACTU</v>
          </cell>
          <cell r="F14">
            <v>100</v>
          </cell>
        </row>
        <row r="15">
          <cell r="C15" t="str">
            <v>RC0603JR-071ML</v>
          </cell>
          <cell r="F15">
            <v>200</v>
          </cell>
        </row>
        <row r="16">
          <cell r="C16" t="str">
            <v>S1M</v>
          </cell>
          <cell r="F16">
            <v>100</v>
          </cell>
        </row>
        <row r="17">
          <cell r="C17" t="str">
            <v>S3J-13-F</v>
          </cell>
          <cell r="F17">
            <v>100</v>
          </cell>
        </row>
        <row r="18">
          <cell r="C18" t="str">
            <v>DE2E3SA472MN2AT01F</v>
          </cell>
          <cell r="F18">
            <v>50</v>
          </cell>
        </row>
        <row r="19">
          <cell r="C19" t="str">
            <v>ES2DA-13-F</v>
          </cell>
          <cell r="F19">
            <v>50</v>
          </cell>
        </row>
        <row r="20">
          <cell r="C20" t="str">
            <v>RC0603FR-07100RL</v>
          </cell>
          <cell r="F20">
            <v>1000</v>
          </cell>
        </row>
        <row r="21">
          <cell r="C21" t="str">
            <v>RC1206FR-071ML</v>
          </cell>
          <cell r="F21">
            <v>100</v>
          </cell>
        </row>
        <row r="22">
          <cell r="C22" t="str">
            <v>B43547A9107M000</v>
          </cell>
          <cell r="F22">
            <v>10</v>
          </cell>
        </row>
        <row r="23">
          <cell r="C23" t="str">
            <v>C0603C105K3PAC7411</v>
          </cell>
          <cell r="F23">
            <v>1000</v>
          </cell>
        </row>
        <row r="24">
          <cell r="C24" t="str">
            <v>C0603C104M5RACTU</v>
          </cell>
          <cell r="F24">
            <v>1000</v>
          </cell>
        </row>
        <row r="25">
          <cell r="C25" t="str">
            <v>MPZ1608R391ATA00</v>
          </cell>
          <cell r="F25">
            <v>100</v>
          </cell>
        </row>
        <row r="26">
          <cell r="C26" t="str">
            <v>RC0603FR-072K2L</v>
          </cell>
          <cell r="F26">
            <v>1000</v>
          </cell>
        </row>
        <row r="27">
          <cell r="C27" t="str">
            <v>RC0603FR-0751KL</v>
          </cell>
          <cell r="F27">
            <v>100</v>
          </cell>
        </row>
        <row r="28">
          <cell r="C28" t="str">
            <v>VS-8EVL06HM3/I</v>
          </cell>
          <cell r="F28">
            <v>10</v>
          </cell>
        </row>
        <row r="29">
          <cell r="C29" t="str">
            <v>G5LE-14-36 DC24</v>
          </cell>
          <cell r="F29">
            <v>10</v>
          </cell>
        </row>
        <row r="30">
          <cell r="C30" t="str">
            <v>B57237S0100M051</v>
          </cell>
          <cell r="F30">
            <v>1</v>
          </cell>
        </row>
        <row r="31">
          <cell r="C31" t="str">
            <v>C0603C103J5RACTU</v>
          </cell>
          <cell r="F31">
            <v>1000</v>
          </cell>
        </row>
        <row r="32">
          <cell r="C32" t="str">
            <v>CC45SL3AD271JYVNA</v>
          </cell>
          <cell r="F32">
            <v>10</v>
          </cell>
        </row>
        <row r="33">
          <cell r="C33" t="str">
            <v>CRE2512-FZ-R002E-3</v>
          </cell>
          <cell r="F33">
            <v>10</v>
          </cell>
        </row>
        <row r="34">
          <cell r="C34" t="str">
            <v>LM258DT</v>
          </cell>
          <cell r="F34">
            <v>20</v>
          </cell>
        </row>
        <row r="35">
          <cell r="C35" t="str">
            <v>MOV-14D431KKTR</v>
          </cell>
          <cell r="F35">
            <v>20</v>
          </cell>
        </row>
        <row r="36">
          <cell r="C36" t="str">
            <v>PIC18F16Q40T-I/SO</v>
          </cell>
          <cell r="F36">
            <v>20</v>
          </cell>
        </row>
        <row r="37">
          <cell r="C37" t="str">
            <v>R463F310050M1M</v>
          </cell>
          <cell r="F37">
            <v>10</v>
          </cell>
        </row>
        <row r="38">
          <cell r="C38" t="str">
            <v>RC0603FR-07100KL</v>
          </cell>
          <cell r="F38">
            <v>100</v>
          </cell>
        </row>
        <row r="39">
          <cell r="C39" t="str">
            <v>RC0603FR-07220RL</v>
          </cell>
          <cell r="F39">
            <v>1000</v>
          </cell>
        </row>
        <row r="40">
          <cell r="C40" t="str">
            <v>RC0603FR-07330KL</v>
          </cell>
          <cell r="F40">
            <v>100</v>
          </cell>
        </row>
        <row r="41">
          <cell r="C41" t="str">
            <v>RC1206FR-072R2L</v>
          </cell>
          <cell r="F41">
            <v>100</v>
          </cell>
        </row>
        <row r="42">
          <cell r="C42" t="str">
            <v>TL431AQDBZR</v>
          </cell>
          <cell r="F42">
            <v>10</v>
          </cell>
        </row>
        <row r="43">
          <cell r="C43" t="str">
            <v>RC0603FR-07470RL</v>
          </cell>
          <cell r="F43">
            <v>100</v>
          </cell>
        </row>
        <row r="44">
          <cell r="C44" t="str">
            <v>RC0603FR-0722RL</v>
          </cell>
          <cell r="F44">
            <v>100</v>
          </cell>
        </row>
        <row r="45">
          <cell r="C45" t="str">
            <v>RC0603FR-07120RL</v>
          </cell>
          <cell r="F45">
            <v>100</v>
          </cell>
        </row>
        <row r="46">
          <cell r="C46" t="str">
            <v>RC0603FR-070RL</v>
          </cell>
          <cell r="F46">
            <v>100</v>
          </cell>
        </row>
        <row r="47">
          <cell r="C47" t="str">
            <v>RC0603FR-071K5L</v>
          </cell>
          <cell r="F47">
            <v>100</v>
          </cell>
        </row>
        <row r="48">
          <cell r="C48" t="str">
            <v>RC0603FR-071K2L</v>
          </cell>
          <cell r="F48">
            <v>100</v>
          </cell>
        </row>
        <row r="49">
          <cell r="C49" t="str">
            <v>RC0603FR-0715KL</v>
          </cell>
          <cell r="F49">
            <v>100</v>
          </cell>
        </row>
        <row r="50">
          <cell r="C50" t="str">
            <v>RC0603FR-0722KL</v>
          </cell>
          <cell r="F50">
            <v>100</v>
          </cell>
        </row>
        <row r="51">
          <cell r="C51" t="str">
            <v>NCV1117DT50RKG</v>
          </cell>
          <cell r="F51">
            <v>50</v>
          </cell>
        </row>
        <row r="52">
          <cell r="C52" t="str">
            <v>BC858BLT3G</v>
          </cell>
          <cell r="F52">
            <v>200</v>
          </cell>
        </row>
        <row r="53">
          <cell r="C53" t="str">
            <v>C1206C105M1RACTU</v>
          </cell>
          <cell r="F53">
            <v>100</v>
          </cell>
        </row>
        <row r="54">
          <cell r="C54" t="str">
            <v>etd 44</v>
          </cell>
          <cell r="F54">
            <v>6</v>
          </cell>
        </row>
        <row r="55">
          <cell r="C55" t="str">
            <v>etd 39</v>
          </cell>
          <cell r="F55">
            <v>4</v>
          </cell>
        </row>
        <row r="56">
          <cell r="C56" t="str">
            <v>etd 24</v>
          </cell>
          <cell r="F56">
            <v>1</v>
          </cell>
        </row>
        <row r="57">
          <cell r="C57" t="str">
            <v>etd 16-vertical</v>
          </cell>
          <cell r="F57">
            <v>2</v>
          </cell>
        </row>
        <row r="58">
          <cell r="C58" t="str">
            <v>etd 20</v>
          </cell>
          <cell r="F58">
            <v>2</v>
          </cell>
        </row>
        <row r="59">
          <cell r="C59" t="str">
            <v>etd 10</v>
          </cell>
        </row>
        <row r="60">
          <cell r="C60" t="str">
            <v>ferrite core-etd44</v>
          </cell>
          <cell r="F60">
            <v>12</v>
          </cell>
        </row>
        <row r="61">
          <cell r="C61" t="str">
            <v>ferrite core-etd39</v>
          </cell>
          <cell r="F61">
            <v>7</v>
          </cell>
        </row>
        <row r="62">
          <cell r="C62" t="str">
            <v>ferrite core-etd24</v>
          </cell>
          <cell r="F62">
            <v>19</v>
          </cell>
        </row>
        <row r="63">
          <cell r="C63" t="str">
            <v>ferrite core-etd16</v>
          </cell>
          <cell r="F63">
            <v>6</v>
          </cell>
        </row>
        <row r="64">
          <cell r="C64" t="str">
            <v>ferrite core-etd20</v>
          </cell>
          <cell r="F64">
            <v>5</v>
          </cell>
        </row>
        <row r="65">
          <cell r="C65" t="str">
            <v>ferrite core-etd10</v>
          </cell>
        </row>
      </sheetData>
    </sheetDataSet>
  </externalBook>
</externalLink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13</v>
    <v>605</v>
    <v>9</v>
  </rv>
</rvData>
</file>

<file path=xl/richData/rdrichvaluestructure.xml><?xml version="1.0" encoding="utf-8"?>
<rvStructures xmlns="http://schemas.microsoft.com/office/spreadsheetml/2017/richdata" count="1">
  <s t="_error">
    <k n="errorType" t="i"/>
    <k n="iftab" t="i"/>
    <k n="subType" t="i"/>
  </s>
</rvStructur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4"/>
  <sheetViews>
    <sheetView workbookViewId="0">
      <selection activeCell="B5" sqref="B5"/>
    </sheetView>
  </sheetViews>
  <sheetFormatPr defaultColWidth="8.7109375" defaultRowHeight="15"/>
  <cols>
    <col min="1" max="1" width="42.5703125" style="6" customWidth="1"/>
    <col min="2" max="2" width="52.140625" style="6" customWidth="1"/>
    <col min="3" max="3" width="53.85546875" style="6" customWidth="1"/>
    <col min="6" max="6" width="47.140625" customWidth="1"/>
  </cols>
  <sheetData>
    <row r="1" spans="1:6">
      <c r="A1" s="6" t="s">
        <v>0</v>
      </c>
      <c r="B1" s="6" t="s">
        <v>1</v>
      </c>
      <c r="C1" s="6" t="s">
        <v>2</v>
      </c>
    </row>
    <row r="2" spans="1:6" ht="30">
      <c r="A2" s="7" t="s">
        <v>3</v>
      </c>
      <c r="B2" s="7" t="s">
        <v>4</v>
      </c>
    </row>
    <row r="3" spans="1:6" ht="75">
      <c r="A3" s="7" t="s">
        <v>3</v>
      </c>
      <c r="B3" s="7" t="s">
        <v>5</v>
      </c>
      <c r="C3" s="6" t="s">
        <v>6</v>
      </c>
      <c r="F3" s="2" t="s">
        <v>7</v>
      </c>
    </row>
    <row r="4" spans="1:6" ht="75">
      <c r="A4" s="7" t="s">
        <v>3</v>
      </c>
      <c r="B4" s="7" t="s">
        <v>8</v>
      </c>
      <c r="F4" s="2"/>
    </row>
    <row r="5" spans="1:6" ht="135">
      <c r="A5" s="6" t="s">
        <v>9</v>
      </c>
      <c r="B5" s="6" t="s">
        <v>10</v>
      </c>
    </row>
    <row r="6" spans="1:6">
      <c r="A6" s="6" t="s">
        <v>11</v>
      </c>
      <c r="B6" s="6" t="s">
        <v>12</v>
      </c>
    </row>
    <row r="8" spans="1:6">
      <c r="B8" s="8"/>
    </row>
    <row r="9" spans="1:6">
      <c r="B9" s="8"/>
    </row>
    <row r="10" spans="1:6">
      <c r="B10" s="8"/>
    </row>
    <row r="11" spans="1:6">
      <c r="B11" s="8"/>
    </row>
    <row r="12" spans="1:6">
      <c r="B12" s="8"/>
    </row>
    <row r="13" spans="1:6">
      <c r="B13" s="8"/>
    </row>
    <row r="14" spans="1:6">
      <c r="B14" s="8"/>
    </row>
  </sheetData>
  <pageMargins left="0.75" right="0.75" top="1" bottom="1" header="0.5" footer="0.5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0"/>
  <sheetViews>
    <sheetView tabSelected="1" workbookViewId="0">
      <selection activeCell="J7" sqref="J7"/>
    </sheetView>
  </sheetViews>
  <sheetFormatPr defaultColWidth="8.7109375" defaultRowHeight="15"/>
  <cols>
    <col min="1" max="1" width="5.140625" customWidth="1"/>
    <col min="2" max="2" width="15.5703125" customWidth="1"/>
    <col min="3" max="3" width="21.140625" customWidth="1"/>
    <col min="4" max="4" width="24.85546875" customWidth="1"/>
    <col min="5" max="5" width="28.85546875" customWidth="1"/>
    <col min="6" max="6" width="19" customWidth="1"/>
    <col min="7" max="7" width="8.7109375" customWidth="1"/>
  </cols>
  <sheetData>
    <row r="1" spans="1:7">
      <c r="A1" t="s">
        <v>13</v>
      </c>
      <c r="B1" s="4" t="s">
        <v>14</v>
      </c>
      <c r="C1" s="4" t="s">
        <v>15</v>
      </c>
      <c r="D1" s="4" t="s">
        <v>16</v>
      </c>
      <c r="E1" s="5" t="s">
        <v>17</v>
      </c>
      <c r="F1" s="4" t="s">
        <v>18</v>
      </c>
      <c r="G1" s="4" t="s">
        <v>19</v>
      </c>
    </row>
    <row r="2" spans="1:7">
      <c r="A2">
        <v>1</v>
      </c>
      <c r="B2" t="s">
        <v>39</v>
      </c>
      <c r="C2" t="s">
        <v>40</v>
      </c>
      <c r="D2" t="s">
        <v>41</v>
      </c>
      <c r="E2" t="s">
        <v>42</v>
      </c>
      <c r="F2">
        <v>2</v>
      </c>
    </row>
    <row r="3" spans="1:7">
      <c r="A3">
        <v>2</v>
      </c>
      <c r="B3" t="s">
        <v>43</v>
      </c>
      <c r="C3" t="s">
        <v>44</v>
      </c>
      <c r="D3" t="s">
        <v>45</v>
      </c>
      <c r="E3" t="s">
        <v>46</v>
      </c>
      <c r="F3">
        <v>1</v>
      </c>
    </row>
    <row r="4" spans="1:7">
      <c r="A4">
        <v>3</v>
      </c>
      <c r="B4" t="s">
        <v>47</v>
      </c>
      <c r="C4" t="s">
        <v>48</v>
      </c>
      <c r="D4" t="s">
        <v>49</v>
      </c>
      <c r="E4" t="s">
        <v>50</v>
      </c>
      <c r="F4">
        <v>1</v>
      </c>
    </row>
    <row r="5" spans="1:7">
      <c r="A5">
        <v>4</v>
      </c>
      <c r="B5" t="s">
        <v>51</v>
      </c>
      <c r="C5" t="s">
        <v>52</v>
      </c>
      <c r="D5" t="s">
        <v>53</v>
      </c>
      <c r="E5" t="s">
        <v>54</v>
      </c>
      <c r="F5">
        <v>1</v>
      </c>
    </row>
    <row r="6" spans="1:7">
      <c r="A6">
        <v>5</v>
      </c>
      <c r="B6" t="s">
        <v>55</v>
      </c>
      <c r="C6" t="s">
        <v>56</v>
      </c>
      <c r="D6" t="s">
        <v>57</v>
      </c>
      <c r="E6" t="s">
        <v>58</v>
      </c>
      <c r="F6">
        <v>3</v>
      </c>
    </row>
    <row r="7" spans="1:7">
      <c r="A7">
        <v>6</v>
      </c>
      <c r="B7" t="s">
        <v>59</v>
      </c>
      <c r="C7" t="s">
        <v>56</v>
      </c>
      <c r="D7" t="s">
        <v>60</v>
      </c>
      <c r="E7" t="s">
        <v>61</v>
      </c>
      <c r="F7">
        <v>1</v>
      </c>
    </row>
    <row r="8" spans="1:7">
      <c r="A8">
        <v>7</v>
      </c>
      <c r="B8" t="s">
        <v>62</v>
      </c>
      <c r="C8" t="s">
        <v>52</v>
      </c>
      <c r="D8" t="s">
        <v>63</v>
      </c>
      <c r="E8" t="s">
        <v>64</v>
      </c>
      <c r="F8">
        <v>1</v>
      </c>
    </row>
    <row r="9" spans="1:7">
      <c r="A9">
        <v>8</v>
      </c>
      <c r="B9" t="s">
        <v>65</v>
      </c>
      <c r="C9" t="s">
        <v>56</v>
      </c>
      <c r="D9" t="s">
        <v>66</v>
      </c>
      <c r="E9" t="s">
        <v>67</v>
      </c>
      <c r="F9">
        <v>2</v>
      </c>
    </row>
    <row r="10" spans="1:7">
      <c r="A10">
        <v>9</v>
      </c>
      <c r="B10" t="s">
        <v>68</v>
      </c>
      <c r="C10" t="s">
        <v>69</v>
      </c>
      <c r="D10" t="s">
        <v>70</v>
      </c>
      <c r="E10" t="s">
        <v>71</v>
      </c>
      <c r="F10">
        <v>1</v>
      </c>
    </row>
    <row r="11" spans="1:7">
      <c r="A11">
        <v>10</v>
      </c>
      <c r="B11" t="s">
        <v>72</v>
      </c>
      <c r="C11" t="s">
        <v>73</v>
      </c>
      <c r="D11" t="s">
        <v>74</v>
      </c>
      <c r="E11" t="s">
        <v>75</v>
      </c>
      <c r="F11">
        <v>1</v>
      </c>
    </row>
    <row r="12" spans="1:7">
      <c r="A12">
        <v>11</v>
      </c>
      <c r="B12" t="s">
        <v>76</v>
      </c>
      <c r="C12" t="s">
        <v>40</v>
      </c>
      <c r="D12" t="s">
        <v>77</v>
      </c>
      <c r="E12" t="s">
        <v>78</v>
      </c>
      <c r="F12">
        <v>1</v>
      </c>
    </row>
    <row r="13" spans="1:7">
      <c r="A13">
        <v>12</v>
      </c>
      <c r="B13" t="s">
        <v>79</v>
      </c>
      <c r="C13" t="s">
        <v>40</v>
      </c>
      <c r="D13" t="s">
        <v>80</v>
      </c>
      <c r="E13" t="s">
        <v>81</v>
      </c>
      <c r="F13">
        <v>1</v>
      </c>
    </row>
    <row r="14" spans="1:7">
      <c r="A14">
        <v>13</v>
      </c>
      <c r="B14" t="s">
        <v>82</v>
      </c>
      <c r="C14" t="s">
        <v>83</v>
      </c>
      <c r="D14" t="s">
        <v>84</v>
      </c>
      <c r="E14" t="s">
        <v>85</v>
      </c>
      <c r="F14">
        <v>2</v>
      </c>
    </row>
    <row r="15" spans="1:7">
      <c r="A15">
        <v>14</v>
      </c>
      <c r="B15" t="s">
        <v>86</v>
      </c>
      <c r="C15" t="s">
        <v>83</v>
      </c>
      <c r="D15" t="s">
        <v>84</v>
      </c>
      <c r="E15" t="s">
        <v>87</v>
      </c>
      <c r="F15">
        <v>1</v>
      </c>
    </row>
    <row r="16" spans="1:7">
      <c r="A16">
        <v>15</v>
      </c>
      <c r="B16" t="s">
        <v>88</v>
      </c>
      <c r="C16" t="s">
        <v>52</v>
      </c>
      <c r="D16" t="s">
        <v>89</v>
      </c>
      <c r="E16" t="s">
        <v>90</v>
      </c>
      <c r="F16">
        <v>1</v>
      </c>
    </row>
    <row r="17" spans="1:6">
      <c r="A17">
        <v>16</v>
      </c>
      <c r="B17" t="s">
        <v>91</v>
      </c>
      <c r="C17" t="s">
        <v>48</v>
      </c>
      <c r="D17" t="s">
        <v>92</v>
      </c>
      <c r="E17" t="s">
        <v>93</v>
      </c>
      <c r="F17">
        <v>1</v>
      </c>
    </row>
    <row r="18" spans="1:6">
      <c r="A18">
        <v>17</v>
      </c>
      <c r="B18" t="s">
        <v>94</v>
      </c>
      <c r="C18" t="s">
        <v>48</v>
      </c>
      <c r="D18" t="s">
        <v>95</v>
      </c>
      <c r="E18" t="s">
        <v>96</v>
      </c>
      <c r="F18">
        <v>2</v>
      </c>
    </row>
    <row r="19" spans="1:6">
      <c r="A19">
        <v>18</v>
      </c>
      <c r="B19" t="s">
        <v>97</v>
      </c>
      <c r="C19" t="s">
        <v>98</v>
      </c>
      <c r="D19" t="s">
        <v>99</v>
      </c>
      <c r="E19" t="s">
        <v>98</v>
      </c>
      <c r="F19">
        <v>2</v>
      </c>
    </row>
    <row r="20" spans="1:6">
      <c r="A20">
        <v>19</v>
      </c>
      <c r="B20" t="s">
        <v>100</v>
      </c>
      <c r="C20" t="s">
        <v>48</v>
      </c>
      <c r="D20" t="s">
        <v>101</v>
      </c>
      <c r="E20" t="s">
        <v>102</v>
      </c>
      <c r="F20">
        <v>1</v>
      </c>
    </row>
  </sheetData>
  <pageMargins left="0.75" right="0.75" top="1" bottom="1" header="0.5" footer="0.5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19"/>
  <sheetViews>
    <sheetView workbookViewId="0">
      <selection activeCell="B2" sqref="B2"/>
    </sheetView>
  </sheetViews>
  <sheetFormatPr defaultColWidth="8.7109375" defaultRowHeight="15"/>
  <cols>
    <col min="1" max="1" width="5.42578125" style="1" customWidth="1"/>
    <col min="2" max="2" width="13.7109375" bestFit="1" customWidth="1"/>
    <col min="3" max="3" width="20.7109375" customWidth="1"/>
    <col min="4" max="4" width="16.85546875" customWidth="1"/>
    <col min="5" max="5" width="18.42578125" customWidth="1"/>
    <col min="6" max="6" width="22.5703125" style="1" customWidth="1"/>
    <col min="7" max="7" width="38.85546875" style="1" customWidth="1"/>
    <col min="8" max="8" width="16.42578125" style="1" customWidth="1"/>
    <col min="9" max="9" width="22.85546875" style="1" customWidth="1"/>
    <col min="10" max="10" width="61.140625" style="1" customWidth="1"/>
    <col min="11" max="11" width="49.85546875" style="1" customWidth="1"/>
    <col min="12" max="12" width="12.140625" style="1" customWidth="1"/>
    <col min="13" max="16384" width="8.7109375" style="1"/>
  </cols>
  <sheetData>
    <row r="1" spans="1:12" ht="51.95" customHeight="1">
      <c r="A1" s="1" t="s">
        <v>20</v>
      </c>
      <c r="B1" t="s">
        <v>21</v>
      </c>
      <c r="C1" t="s">
        <v>22</v>
      </c>
      <c r="D1" t="s">
        <v>17</v>
      </c>
      <c r="E1" t="s">
        <v>23</v>
      </c>
      <c r="F1" s="1" t="s">
        <v>24</v>
      </c>
      <c r="G1" s="1" t="s">
        <v>25</v>
      </c>
      <c r="H1" s="1" t="s">
        <v>26</v>
      </c>
      <c r="I1" s="1" t="s">
        <v>27</v>
      </c>
      <c r="J1" s="1" t="s">
        <v>28</v>
      </c>
      <c r="K1" s="3" t="s">
        <v>29</v>
      </c>
      <c r="L1" s="1" t="s">
        <v>30</v>
      </c>
    </row>
    <row r="2" spans="1:12">
      <c r="A2" s="1">
        <v>1</v>
      </c>
      <c r="B2" cm="1">
        <f t="array" ref="B2:B5">_xlfn.UNIQUE(Initial_entry!F2:F399,0)</f>
        <v>2</v>
      </c>
      <c r="C2" t="str">
        <f>IF(ISBLANK(B2),"",IF(ISBLANK(INDEX(Initial_entry!D:D,MATCH(B2,Initial_entry!F:F,0))),"No value entered",INDEX(Initial_entry!D:D,MATCH(B2,Initial_entry!F:F,0))))</f>
        <v>GAN3R2-100CBE                                                                                                                                                                                                                                                     100 V, 3.2 mOhm Gallium Nitride (GaN) FET in a 3.5 mm x 2.13 mm Wafer Level Chip</v>
      </c>
      <c r="D2" t="str" cm="1">
        <f t="array" ref="D2">IF(ISBLANK(B2),"",_xlfn.TEXTJOIN(CHAR(10),FALSE,_xlfn._xlws.FILTER(Initial_entry!E:E,Initial_entry!F:F=B2)))</f>
        <v>GAN3R2-100CBE
CGB2A1X5R1E105K033BC
RC0402FR−0710KL
RC0603FR−0710RL
RC0603FR−072RL</v>
      </c>
      <c r="E2">
        <f>IF(ISBLANK(B2)," ",SUMIF(Initial_entry!F:F,B2,Initial_entry!G:G))</f>
        <v>0</v>
      </c>
    </row>
    <row r="3" spans="1:12">
      <c r="A3" s="1">
        <v>2</v>
      </c>
      <c r="B3">
        <v>1</v>
      </c>
      <c r="C3" t="str">
        <f>IF(ISBLANK(B3),"",IF(ISBLANK(INDEX(Initial_entry!D:D,MATCH(B3,Initial_entry!F:F,0))),"No value entered",INDEX(Initial_entry!D:D,MATCH(B3,Initial_entry!F:F,0))))</f>
        <v>CONN HEADER VERT 2POS 4.14MM</v>
      </c>
      <c r="D3" t="str" cm="1">
        <f t="array" ref="D3">IF(ISBLANK(B3),"",_xlfn.TEXTJOIN(CHAR(10),FALSE,_xlfn._xlws.FILTER(Initial_entry!E:E,Initial_entry!F:F=B3)))</f>
        <v>1-770166-1
CC0402JRNPO9BN100
CL10B105KA8NNNC
CGA3E2X7R1E104K080AA
CL05A474KA5NNNC
CC0402KRX7R8BB104
22-28-4060
ES1J
NCP51820
RC0402FR-0710KL
RC1005F2R0CS
RC0603FR−0760K4L
RC0603JR−070RL</v>
      </c>
      <c r="E3">
        <f>IF(ISBLANK(B3)," ",SUMIF(Initial_entry!F:F,B3,Initial_entry!G:G))</f>
        <v>0</v>
      </c>
    </row>
    <row r="4" spans="1:12">
      <c r="B4">
        <v>3</v>
      </c>
      <c r="C4" t="str">
        <f>IF(ISBLANK(B4),"",IF(ISBLANK(INDEX(Initial_entry!D:D,MATCH(B4,Initial_entry!F:F,0))),"No value entered",INDEX(Initial_entry!D:D,MATCH(B4,Initial_entry!F:F,0))))</f>
        <v>Multilayer Ceramic Capacitors 100nF ±10%  X7R SMD 1812</v>
      </c>
      <c r="D4" t="str" cm="1">
        <f t="array" ref="D4">IF(ISBLANK(B4),"",_xlfn.TEXTJOIN(CHAR(10),FALSE,_xlfn._xlws.FILTER(Initial_entry!E:E,Initial_entry!F:F=B4)))</f>
        <v>C4532X7R2J104K230KA</v>
      </c>
      <c r="E4">
        <f>IF(ISBLANK(B4)," ",SUMIF(Initial_entry!F:F,B4,Initial_entry!G:G))</f>
        <v>0</v>
      </c>
    </row>
    <row r="5" spans="1:12">
      <c r="B5">
        <v>0</v>
      </c>
      <c r="C5" t="e">
        <f>IF(ISBLANK(B5),"",IF(ISBLANK(INDEX(Initial_entry!D:D,MATCH(B5,Initial_entry!F:F,0))),"No value entered",INDEX(Initial_entry!D:D,MATCH(B5,Initial_entry!F:F,0))))</f>
        <v>#N/A</v>
      </c>
      <c r="D5" t="e" cm="1" vm="1">
        <f t="array" ref="D5">IF(ISBLANK(B5),"",_xlfn.TEXTJOIN(CHAR(10),FALSE,_xlfn._xlws.FILTER(Initial_entry!E:E,Initial_entry!F:F=B5)))</f>
        <v>#VALUE!</v>
      </c>
      <c r="E5">
        <f>IF(ISBLANK(B5)," ",SUMIF(Initial_entry!F:F,B5,Initial_entry!G:G))</f>
        <v>0</v>
      </c>
    </row>
    <row r="6" spans="1:12">
      <c r="C6" t="str">
        <f>IF(ISBLANK(B6),"",IF(ISBLANK(INDEX(Initial_entry!D:D,MATCH(B6,Initial_entry!F:F,0))),"No value entered",INDEX(Initial_entry!D:D,MATCH(B6,Initial_entry!F:F,0))))</f>
        <v/>
      </c>
      <c r="D6" t="str" cm="1">
        <f t="array" ref="D6">IF(ISBLANK(B6),"",_xlfn.TEXTJOIN(CHAR(10),FALSE,_xlfn._xlws.FILTER(Initial_entry!E:E,Initial_entry!F:F=B6)))</f>
        <v/>
      </c>
      <c r="E6" t="str">
        <f>IF(ISBLANK(B6)," ",SUMIF(Initial_entry!F:F,B6,Initial_entry!G:G))</f>
        <v xml:space="preserve"> </v>
      </c>
    </row>
    <row r="7" spans="1:12">
      <c r="C7" t="str">
        <f>IF(ISBLANK(B7),"",IF(ISBLANK(INDEX(Initial_entry!D:D,MATCH(B7,Initial_entry!F:F,0))),"No value entered",INDEX(Initial_entry!D:D,MATCH(B7,Initial_entry!F:F,0))))</f>
        <v/>
      </c>
      <c r="D7" t="str" cm="1">
        <f t="array" ref="D7">IF(ISBLANK(B7),"",_xlfn.TEXTJOIN(CHAR(10),FALSE,_xlfn._xlws.FILTER(Initial_entry!E:E,Initial_entry!F:F=B7)))</f>
        <v/>
      </c>
      <c r="E7" t="str">
        <f>IF(ISBLANK(B7)," ",SUMIF(Initial_entry!F:F,B7,Initial_entry!G:G))</f>
        <v xml:space="preserve"> </v>
      </c>
    </row>
    <row r="8" spans="1:12">
      <c r="C8" t="str">
        <f>IF(ISBLANK(B8),"",IF(ISBLANK(INDEX(Initial_entry!D:D,MATCH(B8,Initial_entry!F:F,0))),"No value entered",INDEX(Initial_entry!D:D,MATCH(B8,Initial_entry!F:F,0))))</f>
        <v/>
      </c>
      <c r="D8" t="str" cm="1">
        <f t="array" ref="D8">IF(ISBLANK(B8),"",_xlfn.TEXTJOIN(CHAR(10),FALSE,_xlfn._xlws.FILTER(Initial_entry!E:E,Initial_entry!F:F=B8)))</f>
        <v/>
      </c>
      <c r="E8" t="str">
        <f>IF(ISBLANK(B8)," ",SUMIF(Initial_entry!F:F,B8,Initial_entry!G:G))</f>
        <v xml:space="preserve"> </v>
      </c>
    </row>
    <row r="9" spans="1:12">
      <c r="C9" t="str">
        <f>IF(ISBLANK(B9),"",IF(ISBLANK(INDEX(Initial_entry!D:D,MATCH(B9,Initial_entry!F:F,0))),"No value entered",INDEX(Initial_entry!D:D,MATCH(B9,Initial_entry!F:F,0))))</f>
        <v/>
      </c>
      <c r="D9" t="str" cm="1">
        <f t="array" ref="D9">IF(ISBLANK(B9),"",_xlfn.TEXTJOIN(CHAR(10),FALSE,_xlfn._xlws.FILTER(Initial_entry!E:E,Initial_entry!F:F=B9)))</f>
        <v/>
      </c>
      <c r="E9" t="str">
        <f>IF(ISBLANK(B9)," ",SUMIF(Initial_entry!F:F,B9,Initial_entry!G:G))</f>
        <v xml:space="preserve"> </v>
      </c>
    </row>
    <row r="10" spans="1:12">
      <c r="C10" t="str">
        <f>IF(ISBLANK(B10),"",IF(ISBLANK(INDEX(Initial_entry!D:D,MATCH(B10,Initial_entry!F:F,0))),"No value entered",INDEX(Initial_entry!D:D,MATCH(B10,Initial_entry!F:F,0))))</f>
        <v/>
      </c>
      <c r="D10" t="str" cm="1">
        <f t="array" ref="D10">IF(ISBLANK(B10),"",_xlfn.TEXTJOIN(CHAR(10),FALSE,_xlfn._xlws.FILTER(Initial_entry!E:E,Initial_entry!F:F=B10)))</f>
        <v/>
      </c>
      <c r="E10" t="str">
        <f>IF(ISBLANK(B10)," ",SUMIF(Initial_entry!F:F,B10,Initial_entry!G:G))</f>
        <v xml:space="preserve"> </v>
      </c>
    </row>
    <row r="11" spans="1:12">
      <c r="C11" t="str">
        <f>IF(ISBLANK(B11),"",IF(ISBLANK(INDEX(Initial_entry!D:D,MATCH(B11,Initial_entry!F:F,0))),"No value entered",INDEX(Initial_entry!D:D,MATCH(B11,Initial_entry!F:F,0))))</f>
        <v/>
      </c>
      <c r="D11" t="str" cm="1">
        <f t="array" ref="D11">IF(ISBLANK(B11),"",_xlfn.TEXTJOIN(CHAR(10),FALSE,_xlfn._xlws.FILTER(Initial_entry!E:E,Initial_entry!F:F=B11)))</f>
        <v/>
      </c>
      <c r="E11" t="str">
        <f>IF(ISBLANK(B11)," ",SUMIF(Initial_entry!F:F,B11,Initial_entry!G:G))</f>
        <v xml:space="preserve"> </v>
      </c>
    </row>
    <row r="12" spans="1:12">
      <c r="C12" t="str">
        <f>IF(ISBLANK(B12),"",IF(ISBLANK(INDEX(Initial_entry!D:D,MATCH(B12,Initial_entry!F:F,0))),"No value entered",INDEX(Initial_entry!D:D,MATCH(B12,Initial_entry!F:F,0))))</f>
        <v/>
      </c>
      <c r="D12" t="str" cm="1">
        <f t="array" ref="D12">IF(ISBLANK(B12),"",_xlfn.TEXTJOIN(CHAR(10),FALSE,_xlfn._xlws.FILTER(Initial_entry!E:E,Initial_entry!F:F=B12)))</f>
        <v/>
      </c>
      <c r="E12" t="str">
        <f>IF(ISBLANK(B12)," ",SUMIF(Initial_entry!F:F,B12,Initial_entry!G:G))</f>
        <v xml:space="preserve"> </v>
      </c>
    </row>
    <row r="13" spans="1:12">
      <c r="D13" t="str" cm="1">
        <f t="array" ref="D13">IF(ISBLANK(B13),"",_xlfn.TEXTJOIN(CHAR(10),FALSE,_xlfn._xlws.FILTER(Initial_entry!E:E,Initial_entry!F:F=B13)))</f>
        <v/>
      </c>
    </row>
    <row r="14" spans="1:12">
      <c r="D14" t="str" cm="1">
        <f t="array" ref="D14">IF(ISBLANK(B14),"",_xlfn.TEXTJOIN(CHAR(10),FALSE,_xlfn._xlws.FILTER(Initial_entry!E:E,Initial_entry!F:F=B14)))</f>
        <v/>
      </c>
    </row>
    <row r="15" spans="1:12">
      <c r="D15" t="str" cm="1">
        <f t="array" ref="D15">IF(ISBLANK(B15),"",_xlfn.TEXTJOIN(CHAR(10),FALSE,_xlfn._xlws.FILTER(Initial_entry!E:E,Initial_entry!F:F=B15)))</f>
        <v/>
      </c>
    </row>
    <row r="16" spans="1:12">
      <c r="D16" t="str" cm="1">
        <f t="array" ref="D16">IF(ISBLANK(B16),"",_xlfn.TEXTJOIN(CHAR(10),FALSE,_xlfn._xlws.FILTER(Initial_entry!E:E,Initial_entry!F:F=B16)))</f>
        <v/>
      </c>
    </row>
    <row r="17" spans="4:4">
      <c r="D17" t="str" cm="1">
        <f t="array" ref="D17">IF(ISBLANK(B17),"",_xlfn.TEXTJOIN(CHAR(10),FALSE,_xlfn._xlws.FILTER(Initial_entry!E:E,Initial_entry!F:F=B17)))</f>
        <v/>
      </c>
    </row>
    <row r="18" spans="4:4">
      <c r="D18" t="str" cm="1">
        <f t="array" ref="D18">IF(ISBLANK(B18),"",_xlfn.TEXTJOIN(CHAR(10),FALSE,_xlfn._xlws.FILTER(Initial_entry!E:E,Initial_entry!F:F=B18)))</f>
        <v/>
      </c>
    </row>
    <row r="19" spans="4:4">
      <c r="D19" t="str" cm="1">
        <f t="array" ref="D19">IF(ISBLANK(B19),"",_xlfn.TEXTJOIN(CHAR(10),FALSE,_xlfn._xlws.FILTER(Initial_entry!E:E,Initial_entry!F:F=B19)))</f>
        <v/>
      </c>
    </row>
  </sheetData>
  <sheetProtection formatCells="0" formatColumns="0" formatRows="0" insertColumns="0" insertRows="0" insertHyperlinks="0" sort="0" autoFilter="0" pivotTables="0"/>
  <autoFilter ref="A1:L3" xr:uid="{00000000-0009-0000-0000-000002000000}"/>
  <pageMargins left="0.75" right="0.75" top="1" bottom="1" header="0.5" footer="0.5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500"/>
  <sheetViews>
    <sheetView workbookViewId="0">
      <selection activeCell="F9" sqref="F9"/>
    </sheetView>
  </sheetViews>
  <sheetFormatPr defaultColWidth="8.7109375" defaultRowHeight="36" customHeight="1"/>
  <cols>
    <col min="1" max="1" width="5.140625" style="1" customWidth="1"/>
    <col min="2" max="3" width="13" style="1" customWidth="1"/>
    <col min="4" max="4" width="18" style="1" customWidth="1"/>
    <col min="5" max="5" width="51.140625" style="1" customWidth="1"/>
    <col min="6" max="6" width="22.42578125" style="1" customWidth="1"/>
    <col min="7" max="7" width="8.7109375" style="1" customWidth="1"/>
    <col min="8" max="8" width="13.7109375" style="1" customWidth="1"/>
    <col min="9" max="9" width="17.85546875" style="1" customWidth="1"/>
    <col min="10" max="10" width="22.42578125" style="1" customWidth="1"/>
    <col min="11" max="11" width="22.85546875" style="1" customWidth="1"/>
    <col min="12" max="12" width="51.140625" style="1" customWidth="1"/>
    <col min="13" max="13" width="8.140625" style="1" customWidth="1"/>
    <col min="14" max="16384" width="8.7109375" style="1"/>
  </cols>
  <sheetData>
    <row r="1" spans="1:13" ht="36" customHeight="1">
      <c r="A1" s="1" t="s">
        <v>13</v>
      </c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31</v>
      </c>
      <c r="I1" s="1" t="s">
        <v>32</v>
      </c>
      <c r="J1" s="1" t="s">
        <v>26</v>
      </c>
      <c r="K1" s="1" t="s">
        <v>33</v>
      </c>
      <c r="L1" s="1" t="s">
        <v>34</v>
      </c>
      <c r="M1" s="3" t="s">
        <v>29</v>
      </c>
    </row>
    <row r="2" spans="1:13" ht="36" customHeight="1">
      <c r="A2" t="e">
        <f>IF(ISBLANK(Initial_entry!#REF!),"",Initial_entry!#REF!)</f>
        <v>#REF!</v>
      </c>
      <c r="B2" t="e">
        <f>IF(ISBLANK(Initial_entry!#REF!),"",Initial_entry!#REF!)</f>
        <v>#REF!</v>
      </c>
      <c r="C2" t="e">
        <f>IF(ISBLANK(Initial_entry!#REF!),"",Initial_entry!#REF!)</f>
        <v>#REF!</v>
      </c>
      <c r="D2" t="e">
        <f>IF(ISBLANK(Initial_entry!#REF!),"",Initial_entry!#REF!)</f>
        <v>#REF!</v>
      </c>
      <c r="E2" t="e">
        <f>IF(ISBLANK(Initial_entry!#REF!),"",Initial_entry!#REF!)</f>
        <v>#REF!</v>
      </c>
      <c r="F2" t="e">
        <f>IF(ISBLANK(Initial_entry!#REF!),,Initial_entry!#REF!)</f>
        <v>#REF!</v>
      </c>
      <c r="G2" t="e">
        <f>IF(ISBLANK(Initial_entry!#REF!),"",Initial_entry!#REF!)</f>
        <v>#REF!</v>
      </c>
      <c r="H2" t="e">
        <f>IF(F2=0," ",(AND(IF(J2=F2,0,1),F2&lt;&gt;0)))</f>
        <v>#REF!</v>
      </c>
      <c r="I2" t="e" cm="1">
        <f t="array" ref="I2">IF(F2=0," ",IF(ISBLANK(INDEX(Initial_Component_aggregator!F:F,MATCH(F2,Initial_Component_aggregator!B:B,0))),"No change",INDEX(Initial_Component_aggregator!F:F,MATCH(F2,Initial_Component_aggregator!B:B,0))))</f>
        <v>#REF!</v>
      </c>
      <c r="J2" t="e" cm="1">
        <f t="array" ref="J2">IF(F2=0," ",IF(ISBLANK(INDEX(Initial_Component_aggregator!H:H,MATCH(F2,Initial_Component_aggregator!B:B,0))),F2,INDEX(Initial_Component_aggregator!H:H,MATCH(F2,Initial_Component_aggregator!B:B,0))))</f>
        <v>#REF!</v>
      </c>
      <c r="K2" t="e" cm="1">
        <f t="array" ref="K2">IF(F2=0," ",IF(ISBLANK(INDEX(Initial_Component_aggregator!H:H,MATCH(F2,Initial_Component_aggregator!B:B))),D2,INDEX(Initial_Component_aggregator!I:I,MATCH(J2,Initial_Component_aggregator!H:H))))</f>
        <v>#REF!</v>
      </c>
      <c r="L2" t="e" cm="1">
        <f t="array" ref="L2">IF(F2=0," ",IF(ISBLANK(INDEX(Initial_Component_aggregator!H:H,MATCH(F2,Initial_Component_aggregator!B:B))),E2,INDEX(Initial_Component_aggregator!J:J,MATCH(J2,Initial_Component_aggregator!H:H))))</f>
        <v>#REF!</v>
      </c>
      <c r="M2" t="e" cm="1">
        <f t="array" ref="M2">IF(F2=0," ",IF(ISBLANK(INDEX(Initial_Component_aggregator!H:H,MATCH(F2,Initial_Component_aggregator!B:B))),F2,INDEX(Initial_Component_aggregator!K:K,MATCH(J2,Initial_Component_aggregator!H:H))))</f>
        <v>#REF!</v>
      </c>
    </row>
    <row r="3" spans="1:13" ht="36" customHeight="1">
      <c r="A3"/>
      <c r="B3"/>
      <c r="C3"/>
      <c r="D3"/>
      <c r="E3"/>
      <c r="F3"/>
      <c r="G3"/>
      <c r="H3" t="str">
        <f t="shared" ref="H3:H66" si="0">IF(F3=0," ",(AND(IF(J3=F3,0,1),F3&lt;&gt;0)))</f>
        <v xml:space="preserve"> </v>
      </c>
      <c r="I3" t="str" cm="1">
        <f t="array" ref="I3">IF(F3=0," ",IF(ISBLANK(INDEX(Initial_Component_aggregator!F:F,MATCH(F3,Initial_Component_aggregator!B:B,0))),"No change",INDEX(Initial_Component_aggregator!F:F,MATCH(F3,Initial_Component_aggregator!B:B,0))))</f>
        <v xml:space="preserve"> </v>
      </c>
      <c r="J3" t="str" cm="1">
        <f t="array" ref="J3">IF(F3=0," ",IF(ISBLANK(INDEX(Initial_Component_aggregator!H:H,MATCH(F3,Initial_Component_aggregator!B:B,0))),F3,INDEX(Initial_Component_aggregator!H:H,MATCH(F3,Initial_Component_aggregator!B:B,0))))</f>
        <v xml:space="preserve"> </v>
      </c>
      <c r="K3" t="str" cm="1">
        <f t="array" ref="K3">IF(F3=0," ",IF(ISBLANK(INDEX(Initial_Component_aggregator!H:H,MATCH(F3,Initial_Component_aggregator!B:B))),D3,INDEX(Initial_Component_aggregator!I:I,MATCH(J3,Initial_Component_aggregator!H:H))))</f>
        <v xml:space="preserve"> </v>
      </c>
      <c r="L3" t="str" cm="1">
        <f t="array" ref="L3">IF(F3=0," ",IF(ISBLANK(INDEX(Initial_Component_aggregator!H:H,MATCH(F3,Initial_Component_aggregator!B:B))),E3,INDEX(Initial_Component_aggregator!J:J,MATCH(J3,Initial_Component_aggregator!H:H))))</f>
        <v xml:space="preserve"> </v>
      </c>
      <c r="M3" t="str" cm="1">
        <f t="array" ref="M3">IF(F3=0," ",IF(ISBLANK(INDEX(Initial_Component_aggregator!H:H,MATCH(F3,Initial_Component_aggregator!B:B))),F3,INDEX(Initial_Component_aggregator!K:K,MATCH(J3,Initial_Component_aggregator!H:H))))</f>
        <v xml:space="preserve"> </v>
      </c>
    </row>
    <row r="4" spans="1:13" ht="36" customHeight="1">
      <c r="A4"/>
      <c r="B4"/>
      <c r="C4"/>
      <c r="D4"/>
      <c r="E4"/>
      <c r="F4"/>
      <c r="G4"/>
      <c r="H4" t="str">
        <f t="shared" si="0"/>
        <v xml:space="preserve"> </v>
      </c>
      <c r="I4" t="str" cm="1">
        <f t="array" ref="I4">IF(F4=0," ",IF(ISBLANK(INDEX(Initial_Component_aggregator!F:F,MATCH(F4,Initial_Component_aggregator!B:B,0))),"No change",INDEX(Initial_Component_aggregator!F:F,MATCH(F4,Initial_Component_aggregator!B:B,0))))</f>
        <v xml:space="preserve"> </v>
      </c>
      <c r="J4" t="str" cm="1">
        <f t="array" ref="J4">IF(F4=0," ",IF(ISBLANK(INDEX(Initial_Component_aggregator!H:H,MATCH(F4,Initial_Component_aggregator!B:B,0))),F4,INDEX(Initial_Component_aggregator!H:H,MATCH(F4,Initial_Component_aggregator!B:B,0))))</f>
        <v xml:space="preserve"> </v>
      </c>
      <c r="K4" t="str" cm="1">
        <f t="array" ref="K4">IF(F4=0," ",IF(ISBLANK(INDEX(Initial_Component_aggregator!H:H,MATCH(F4,Initial_Component_aggregator!B:B))),D4,INDEX(Initial_Component_aggregator!I:I,MATCH(J4,Initial_Component_aggregator!H:H))))</f>
        <v xml:space="preserve"> </v>
      </c>
      <c r="L4" t="str" cm="1">
        <f t="array" ref="L4">IF(F4=0," ",IF(ISBLANK(INDEX(Initial_Component_aggregator!H:H,MATCH(F4,Initial_Component_aggregator!B:B))),E4,INDEX(Initial_Component_aggregator!J:J,MATCH(J4,Initial_Component_aggregator!H:H))))</f>
        <v xml:space="preserve"> </v>
      </c>
      <c r="M4" t="str" cm="1">
        <f t="array" ref="M4">IF(F4=0," ",IF(ISBLANK(INDEX(Initial_Component_aggregator!H:H,MATCH(F4,Initial_Component_aggregator!B:B))),F4,INDEX(Initial_Component_aggregator!K:K,MATCH(J4,Initial_Component_aggregator!H:H))))</f>
        <v xml:space="preserve"> </v>
      </c>
    </row>
    <row r="5" spans="1:13" ht="36" customHeight="1">
      <c r="A5"/>
      <c r="B5"/>
      <c r="C5"/>
      <c r="D5"/>
      <c r="E5"/>
      <c r="F5"/>
      <c r="G5"/>
      <c r="H5" t="str">
        <f t="shared" si="0"/>
        <v xml:space="preserve"> </v>
      </c>
      <c r="I5" t="str" cm="1">
        <f t="array" ref="I5">IF(F5=0," ",IF(ISBLANK(INDEX(Initial_Component_aggregator!F:F,MATCH(F5,Initial_Component_aggregator!B:B,0))),"No change",INDEX(Initial_Component_aggregator!F:F,MATCH(F5,Initial_Component_aggregator!B:B,0))))</f>
        <v xml:space="preserve"> </v>
      </c>
      <c r="J5" t="str" cm="1">
        <f t="array" ref="J5">IF(F5=0," ",IF(ISBLANK(INDEX(Initial_Component_aggregator!H:H,MATCH(F5,Initial_Component_aggregator!B:B,0))),F5,INDEX(Initial_Component_aggregator!H:H,MATCH(F5,Initial_Component_aggregator!B:B,0))))</f>
        <v xml:space="preserve"> </v>
      </c>
      <c r="K5" t="str" cm="1">
        <f t="array" ref="K5">IF(F5=0," ",IF(ISBLANK(INDEX(Initial_Component_aggregator!H:H,MATCH(F5,Initial_Component_aggregator!B:B))),D5,INDEX(Initial_Component_aggregator!I:I,MATCH(J5,Initial_Component_aggregator!H:H))))</f>
        <v xml:space="preserve"> </v>
      </c>
      <c r="L5" t="str" cm="1">
        <f t="array" ref="L5">IF(F5=0," ",IF(ISBLANK(INDEX(Initial_Component_aggregator!H:H,MATCH(F5,Initial_Component_aggregator!B:B))),E5,INDEX(Initial_Component_aggregator!J:J,MATCH(J5,Initial_Component_aggregator!H:H))))</f>
        <v xml:space="preserve"> </v>
      </c>
      <c r="M5" t="str" cm="1">
        <f t="array" ref="M5">IF(F5=0," ",IF(ISBLANK(INDEX(Initial_Component_aggregator!H:H,MATCH(F5,Initial_Component_aggregator!B:B))),F5,INDEX(Initial_Component_aggregator!K:K,MATCH(J5,Initial_Component_aggregator!H:H))))</f>
        <v xml:space="preserve"> </v>
      </c>
    </row>
    <row r="6" spans="1:13" ht="36" customHeight="1">
      <c r="A6"/>
      <c r="B6"/>
      <c r="C6"/>
      <c r="D6"/>
      <c r="E6"/>
      <c r="F6"/>
      <c r="G6"/>
      <c r="H6" t="str">
        <f t="shared" si="0"/>
        <v xml:space="preserve"> </v>
      </c>
      <c r="I6" t="str" cm="1">
        <f t="array" ref="I6">IF(F6=0," ",IF(ISBLANK(INDEX(Initial_Component_aggregator!F:F,MATCH(F6,Initial_Component_aggregator!B:B,0))),"No change",INDEX(Initial_Component_aggregator!F:F,MATCH(F6,Initial_Component_aggregator!B:B,0))))</f>
        <v xml:space="preserve"> </v>
      </c>
      <c r="J6" t="str" cm="1">
        <f t="array" ref="J6">IF(F6=0," ",IF(ISBLANK(INDEX(Initial_Component_aggregator!H:H,MATCH(F6,Initial_Component_aggregator!B:B,0))),F6,INDEX(Initial_Component_aggregator!H:H,MATCH(F6,Initial_Component_aggregator!B:B,0))))</f>
        <v xml:space="preserve"> </v>
      </c>
      <c r="K6" t="str" cm="1">
        <f t="array" ref="K6">IF(F6=0," ",IF(ISBLANK(INDEX(Initial_Component_aggregator!H:H,MATCH(F6,Initial_Component_aggregator!B:B))),D6,INDEX(Initial_Component_aggregator!I:I,MATCH(J6,Initial_Component_aggregator!H:H))))</f>
        <v xml:space="preserve"> </v>
      </c>
      <c r="L6" t="str" cm="1">
        <f t="array" ref="L6">IF(F6=0," ",IF(ISBLANK(INDEX(Initial_Component_aggregator!H:H,MATCH(F6,Initial_Component_aggregator!B:B))),E6,INDEX(Initial_Component_aggregator!J:J,MATCH(J6,Initial_Component_aggregator!H:H))))</f>
        <v xml:space="preserve"> </v>
      </c>
      <c r="M6" t="str" cm="1">
        <f t="array" ref="M6">IF(F6=0," ",IF(ISBLANK(INDEX(Initial_Component_aggregator!H:H,MATCH(F6,Initial_Component_aggregator!B:B))),F6,INDEX(Initial_Component_aggregator!K:K,MATCH(J6,Initial_Component_aggregator!H:H))))</f>
        <v xml:space="preserve"> </v>
      </c>
    </row>
    <row r="7" spans="1:13" ht="36" customHeight="1">
      <c r="A7"/>
      <c r="B7"/>
      <c r="C7"/>
      <c r="D7"/>
      <c r="E7"/>
      <c r="F7"/>
      <c r="G7"/>
      <c r="H7" t="str">
        <f t="shared" si="0"/>
        <v xml:space="preserve"> </v>
      </c>
      <c r="I7" t="str" cm="1">
        <f t="array" ref="I7">IF(F7=0," ",IF(ISBLANK(INDEX(Initial_Component_aggregator!F:F,MATCH(F7,Initial_Component_aggregator!B:B,0))),"No change",INDEX(Initial_Component_aggregator!F:F,MATCH(F7,Initial_Component_aggregator!B:B,0))))</f>
        <v xml:space="preserve"> </v>
      </c>
      <c r="J7" t="str" cm="1">
        <f t="array" ref="J7">IF(F7=0," ",IF(ISBLANK(INDEX(Initial_Component_aggregator!H:H,MATCH(F7,Initial_Component_aggregator!B:B,0))),F7,INDEX(Initial_Component_aggregator!H:H,MATCH(F7,Initial_Component_aggregator!B:B,0))))</f>
        <v xml:space="preserve"> </v>
      </c>
      <c r="K7" t="str" cm="1">
        <f t="array" ref="K7">IF(F7=0," ",IF(ISBLANK(INDEX(Initial_Component_aggregator!H:H,MATCH(F7,Initial_Component_aggregator!B:B))),D7,INDEX(Initial_Component_aggregator!I:I,MATCH(J7,Initial_Component_aggregator!H:H))))</f>
        <v xml:space="preserve"> </v>
      </c>
      <c r="L7" t="str" cm="1">
        <f t="array" ref="L7">IF(F7=0," ",IF(ISBLANK(INDEX(Initial_Component_aggregator!H:H,MATCH(F7,Initial_Component_aggregator!B:B))),E7,INDEX(Initial_Component_aggregator!J:J,MATCH(J7,Initial_Component_aggregator!H:H))))</f>
        <v xml:space="preserve"> </v>
      </c>
      <c r="M7" t="str" cm="1">
        <f t="array" ref="M7">IF(F7=0," ",IF(ISBLANK(INDEX(Initial_Component_aggregator!H:H,MATCH(F7,Initial_Component_aggregator!B:B))),F7,INDEX(Initial_Component_aggregator!K:K,MATCH(J7,Initial_Component_aggregator!H:H))))</f>
        <v xml:space="preserve"> </v>
      </c>
    </row>
    <row r="8" spans="1:13" ht="36" customHeight="1">
      <c r="A8"/>
      <c r="B8"/>
      <c r="C8"/>
      <c r="D8"/>
      <c r="E8"/>
      <c r="F8"/>
      <c r="G8"/>
      <c r="H8" t="str">
        <f t="shared" si="0"/>
        <v xml:space="preserve"> </v>
      </c>
      <c r="I8" t="str" cm="1">
        <f t="array" ref="I8">IF(F8=0," ",IF(ISBLANK(INDEX(Initial_Component_aggregator!F:F,MATCH(F8,Initial_Component_aggregator!B:B,0))),"No change",INDEX(Initial_Component_aggregator!F:F,MATCH(F8,Initial_Component_aggregator!B:B,0))))</f>
        <v xml:space="preserve"> </v>
      </c>
      <c r="J8" t="str" cm="1">
        <f t="array" ref="J8">IF(F8=0," ",IF(ISBLANK(INDEX(Initial_Component_aggregator!H:H,MATCH(F8,Initial_Component_aggregator!B:B,0))),F8,INDEX(Initial_Component_aggregator!H:H,MATCH(F8,Initial_Component_aggregator!B:B,0))))</f>
        <v xml:space="preserve"> </v>
      </c>
      <c r="K8" t="str" cm="1">
        <f t="array" ref="K8">IF(F8=0," ",IF(ISBLANK(INDEX(Initial_Component_aggregator!H:H,MATCH(F8,Initial_Component_aggregator!B:B))),D8,INDEX(Initial_Component_aggregator!I:I,MATCH(J8,Initial_Component_aggregator!H:H))))</f>
        <v xml:space="preserve"> </v>
      </c>
      <c r="L8" t="str" cm="1">
        <f t="array" ref="L8">IF(F8=0," ",IF(ISBLANK(INDEX(Initial_Component_aggregator!H:H,MATCH(F8,Initial_Component_aggregator!B:B))),E8,INDEX(Initial_Component_aggregator!J:J,MATCH(J8,Initial_Component_aggregator!H:H))))</f>
        <v xml:space="preserve"> </v>
      </c>
      <c r="M8" t="str" cm="1">
        <f t="array" ref="M8">IF(F8=0," ",IF(ISBLANK(INDEX(Initial_Component_aggregator!H:H,MATCH(F8,Initial_Component_aggregator!B:B))),F8,INDEX(Initial_Component_aggregator!K:K,MATCH(J8,Initial_Component_aggregator!H:H))))</f>
        <v xml:space="preserve"> </v>
      </c>
    </row>
    <row r="9" spans="1:13" ht="36" customHeight="1">
      <c r="A9"/>
      <c r="B9"/>
      <c r="C9"/>
      <c r="D9"/>
      <c r="E9"/>
      <c r="F9"/>
      <c r="G9"/>
      <c r="H9" t="str">
        <f t="shared" si="0"/>
        <v xml:space="preserve"> </v>
      </c>
      <c r="I9" t="str" cm="1">
        <f t="array" ref="I9">IF(F9=0," ",IF(ISBLANK(INDEX(Initial_Component_aggregator!F:F,MATCH(F9,Initial_Component_aggregator!B:B,0))),"No change",INDEX(Initial_Component_aggregator!F:F,MATCH(F9,Initial_Component_aggregator!B:B,0))))</f>
        <v xml:space="preserve"> </v>
      </c>
      <c r="J9" t="str" cm="1">
        <f t="array" ref="J9">IF(F9=0," ",IF(ISBLANK(INDEX(Initial_Component_aggregator!H:H,MATCH(F9,Initial_Component_aggregator!B:B,0))),F9,INDEX(Initial_Component_aggregator!H:H,MATCH(F9,Initial_Component_aggregator!B:B,0))))</f>
        <v xml:space="preserve"> </v>
      </c>
      <c r="K9" t="str" cm="1">
        <f t="array" ref="K9">IF(F9=0," ",IF(ISBLANK(INDEX(Initial_Component_aggregator!H:H,MATCH(F9,Initial_Component_aggregator!B:B))),D9,INDEX(Initial_Component_aggregator!I:I,MATCH(J9,Initial_Component_aggregator!H:H))))</f>
        <v xml:space="preserve"> </v>
      </c>
      <c r="L9" t="str" cm="1">
        <f t="array" ref="L9">IF(F9=0," ",IF(ISBLANK(INDEX(Initial_Component_aggregator!H:H,MATCH(F9,Initial_Component_aggregator!B:B))),E9,INDEX(Initial_Component_aggregator!J:J,MATCH(J9,Initial_Component_aggregator!H:H))))</f>
        <v xml:space="preserve"> </v>
      </c>
      <c r="M9" t="str" cm="1">
        <f t="array" ref="M9">IF(F9=0," ",IF(ISBLANK(INDEX(Initial_Component_aggregator!H:H,MATCH(F9,Initial_Component_aggregator!B:B))),F9,INDEX(Initial_Component_aggregator!K:K,MATCH(J9,Initial_Component_aggregator!H:H))))</f>
        <v xml:space="preserve"> </v>
      </c>
    </row>
    <row r="10" spans="1:13" ht="36" customHeight="1">
      <c r="A10"/>
      <c r="B10"/>
      <c r="C10"/>
      <c r="D10"/>
      <c r="E10"/>
      <c r="F10"/>
      <c r="G10"/>
      <c r="H10" t="str">
        <f t="shared" si="0"/>
        <v xml:space="preserve"> </v>
      </c>
      <c r="I10" t="str" cm="1">
        <f t="array" ref="I10">IF(F10=0," ",IF(ISBLANK(INDEX(Initial_Component_aggregator!F:F,MATCH(F10,Initial_Component_aggregator!B:B,0))),"No change",INDEX(Initial_Component_aggregator!F:F,MATCH(F10,Initial_Component_aggregator!B:B,0))))</f>
        <v xml:space="preserve"> </v>
      </c>
      <c r="J10" t="str" cm="1">
        <f t="array" ref="J10">IF(F10=0," ",IF(ISBLANK(INDEX(Initial_Component_aggregator!H:H,MATCH(F10,Initial_Component_aggregator!B:B,0))),F10,INDEX(Initial_Component_aggregator!H:H,MATCH(F10,Initial_Component_aggregator!B:B,0))))</f>
        <v xml:space="preserve"> </v>
      </c>
      <c r="K10" t="str" cm="1">
        <f t="array" ref="K10">IF(F10=0," ",IF(ISBLANK(INDEX(Initial_Component_aggregator!H:H,MATCH(F10,Initial_Component_aggregator!B:B))),D10,INDEX(Initial_Component_aggregator!I:I,MATCH(J10,Initial_Component_aggregator!H:H))))</f>
        <v xml:space="preserve"> </v>
      </c>
      <c r="L10" t="str" cm="1">
        <f t="array" ref="L10">IF(F10=0," ",IF(ISBLANK(INDEX(Initial_Component_aggregator!H:H,MATCH(F10,Initial_Component_aggregator!B:B))),E10,INDEX(Initial_Component_aggregator!J:J,MATCH(J10,Initial_Component_aggregator!H:H))))</f>
        <v xml:space="preserve"> </v>
      </c>
      <c r="M10" t="str" cm="1">
        <f t="array" ref="M10">IF(F10=0," ",IF(ISBLANK(INDEX(Initial_Component_aggregator!H:H,MATCH(F10,Initial_Component_aggregator!B:B))),F10,INDEX(Initial_Component_aggregator!K:K,MATCH(J10,Initial_Component_aggregator!H:H))))</f>
        <v xml:space="preserve"> </v>
      </c>
    </row>
    <row r="11" spans="1:13" ht="36" customHeight="1">
      <c r="A11"/>
      <c r="B11"/>
      <c r="C11"/>
      <c r="D11"/>
      <c r="E11"/>
      <c r="F11"/>
      <c r="G11"/>
      <c r="H11" t="str">
        <f t="shared" si="0"/>
        <v xml:space="preserve"> </v>
      </c>
      <c r="I11" t="str" cm="1">
        <f t="array" ref="I11">IF(F11=0," ",IF(ISBLANK(INDEX(Initial_Component_aggregator!F:F,MATCH(F11,Initial_Component_aggregator!B:B,0))),"No change",INDEX(Initial_Component_aggregator!F:F,MATCH(F11,Initial_Component_aggregator!B:B,0))))</f>
        <v xml:space="preserve"> </v>
      </c>
      <c r="J11" t="str" cm="1">
        <f t="array" ref="J11">IF(F11=0," ",IF(ISBLANK(INDEX(Initial_Component_aggregator!H:H,MATCH(F11,Initial_Component_aggregator!B:B,0))),F11,INDEX(Initial_Component_aggregator!H:H,MATCH(F11,Initial_Component_aggregator!B:B,0))))</f>
        <v xml:space="preserve"> </v>
      </c>
      <c r="K11" t="str" cm="1">
        <f t="array" ref="K11">IF(F11=0," ",IF(ISBLANK(INDEX(Initial_Component_aggregator!H:H,MATCH(F11,Initial_Component_aggregator!B:B))),D11,INDEX(Initial_Component_aggregator!I:I,MATCH(J11,Initial_Component_aggregator!H:H))))</f>
        <v xml:space="preserve"> </v>
      </c>
      <c r="L11" t="str" cm="1">
        <f t="array" ref="L11">IF(F11=0," ",IF(ISBLANK(INDEX(Initial_Component_aggregator!H:H,MATCH(F11,Initial_Component_aggregator!B:B))),E11,INDEX(Initial_Component_aggregator!J:J,MATCH(J11,Initial_Component_aggregator!H:H))))</f>
        <v xml:space="preserve"> </v>
      </c>
      <c r="M11" t="str" cm="1">
        <f t="array" ref="M11">IF(F11=0," ",IF(ISBLANK(INDEX(Initial_Component_aggregator!H:H,MATCH(F11,Initial_Component_aggregator!B:B))),F11,INDEX(Initial_Component_aggregator!K:K,MATCH(J11,Initial_Component_aggregator!H:H))))</f>
        <v xml:space="preserve"> </v>
      </c>
    </row>
    <row r="12" spans="1:13" ht="36" customHeight="1">
      <c r="A12"/>
      <c r="B12"/>
      <c r="C12"/>
      <c r="D12"/>
      <c r="E12"/>
      <c r="F12"/>
      <c r="G12"/>
      <c r="H12" t="str">
        <f t="shared" si="0"/>
        <v xml:space="preserve"> </v>
      </c>
      <c r="I12" t="str" cm="1">
        <f t="array" ref="I12">IF(F12=0," ",IF(ISBLANK(INDEX(Initial_Component_aggregator!F:F,MATCH(F12,Initial_Component_aggregator!B:B,0))),"No change",INDEX(Initial_Component_aggregator!F:F,MATCH(F12,Initial_Component_aggregator!B:B,0))))</f>
        <v xml:space="preserve"> </v>
      </c>
      <c r="J12" t="str" cm="1">
        <f t="array" ref="J12">IF(F12=0," ",IF(ISBLANK(INDEX(Initial_Component_aggregator!H:H,MATCH(F12,Initial_Component_aggregator!B:B,0))),F12,INDEX(Initial_Component_aggregator!H:H,MATCH(F12,Initial_Component_aggregator!B:B,0))))</f>
        <v xml:space="preserve"> </v>
      </c>
      <c r="K12" t="str" cm="1">
        <f t="array" ref="K12">IF(F12=0," ",IF(ISBLANK(INDEX(Initial_Component_aggregator!H:H,MATCH(F12,Initial_Component_aggregator!B:B))),D12,INDEX(Initial_Component_aggregator!I:I,MATCH(J12,Initial_Component_aggregator!H:H))))</f>
        <v xml:space="preserve"> </v>
      </c>
      <c r="L12" t="str" cm="1">
        <f t="array" ref="L12">IF(F12=0," ",IF(ISBLANK(INDEX(Initial_Component_aggregator!H:H,MATCH(F12,Initial_Component_aggregator!B:B))),E12,INDEX(Initial_Component_aggregator!J:J,MATCH(J12,Initial_Component_aggregator!H:H))))</f>
        <v xml:space="preserve"> </v>
      </c>
      <c r="M12" t="str" cm="1">
        <f t="array" ref="M12">IF(F12=0," ",IF(ISBLANK(INDEX(Initial_Component_aggregator!H:H,MATCH(F12,Initial_Component_aggregator!B:B))),F12,INDEX(Initial_Component_aggregator!K:K,MATCH(J12,Initial_Component_aggregator!H:H))))</f>
        <v xml:space="preserve"> </v>
      </c>
    </row>
    <row r="13" spans="1:13" ht="36" customHeight="1">
      <c r="A13"/>
      <c r="B13"/>
      <c r="C13"/>
      <c r="D13"/>
      <c r="E13"/>
      <c r="F13"/>
      <c r="G13"/>
      <c r="H13" t="str">
        <f t="shared" si="0"/>
        <v xml:space="preserve"> </v>
      </c>
      <c r="I13" t="str" cm="1">
        <f t="array" ref="I13">IF(F13=0," ",IF(ISBLANK(INDEX(Initial_Component_aggregator!F:F,MATCH(F13,Initial_Component_aggregator!B:B,0))),"No change",INDEX(Initial_Component_aggregator!F:F,MATCH(F13,Initial_Component_aggregator!B:B,0))))</f>
        <v xml:space="preserve"> </v>
      </c>
      <c r="J13" t="str" cm="1">
        <f t="array" ref="J13">IF(F13=0," ",IF(ISBLANK(INDEX(Initial_Component_aggregator!H:H,MATCH(F13,Initial_Component_aggregator!B:B,0))),F13,INDEX(Initial_Component_aggregator!H:H,MATCH(F13,Initial_Component_aggregator!B:B,0))))</f>
        <v xml:space="preserve"> </v>
      </c>
      <c r="K13" t="str" cm="1">
        <f t="array" ref="K13">IF(F13=0," ",IF(ISBLANK(INDEX(Initial_Component_aggregator!H:H,MATCH(F13,Initial_Component_aggregator!B:B))),D13,INDEX(Initial_Component_aggregator!I:I,MATCH(J13,Initial_Component_aggregator!H:H))))</f>
        <v xml:space="preserve"> </v>
      </c>
      <c r="L13" t="str" cm="1">
        <f t="array" ref="L13">IF(F13=0," ",IF(ISBLANK(INDEX(Initial_Component_aggregator!H:H,MATCH(F13,Initial_Component_aggregator!B:B))),E13,INDEX(Initial_Component_aggregator!J:J,MATCH(J13,Initial_Component_aggregator!H:H))))</f>
        <v xml:space="preserve"> </v>
      </c>
      <c r="M13" t="str" cm="1">
        <f t="array" ref="M13">IF(F13=0," ",IF(ISBLANK(INDEX(Initial_Component_aggregator!H:H,MATCH(F13,Initial_Component_aggregator!B:B))),F13,INDEX(Initial_Component_aggregator!K:K,MATCH(J13,Initial_Component_aggregator!H:H))))</f>
        <v xml:space="preserve"> </v>
      </c>
    </row>
    <row r="14" spans="1:13" ht="36" customHeight="1">
      <c r="A14"/>
      <c r="B14"/>
      <c r="C14"/>
      <c r="D14"/>
      <c r="E14"/>
      <c r="F14"/>
      <c r="G14"/>
      <c r="H14" t="str">
        <f t="shared" si="0"/>
        <v xml:space="preserve"> </v>
      </c>
      <c r="I14" t="str" cm="1">
        <f t="array" ref="I14">IF(F14=0," ",IF(ISBLANK(INDEX(Initial_Component_aggregator!F:F,MATCH(F14,Initial_Component_aggregator!B:B,0))),"No change",INDEX(Initial_Component_aggregator!F:F,MATCH(F14,Initial_Component_aggregator!B:B,0))))</f>
        <v xml:space="preserve"> </v>
      </c>
      <c r="J14" t="str" cm="1">
        <f t="array" ref="J14">IF(F14=0," ",IF(ISBLANK(INDEX(Initial_Component_aggregator!H:H,MATCH(F14,Initial_Component_aggregator!B:B,0))),F14,INDEX(Initial_Component_aggregator!H:H,MATCH(F14,Initial_Component_aggregator!B:B,0))))</f>
        <v xml:space="preserve"> </v>
      </c>
      <c r="K14" t="str" cm="1">
        <f t="array" ref="K14">IF(F14=0," ",IF(ISBLANK(INDEX(Initial_Component_aggregator!H:H,MATCH(F14,Initial_Component_aggregator!B:B))),D14,INDEX(Initial_Component_aggregator!I:I,MATCH(J14,Initial_Component_aggregator!H:H))))</f>
        <v xml:space="preserve"> </v>
      </c>
      <c r="L14" t="str" cm="1">
        <f t="array" ref="L14">IF(F14=0," ",IF(ISBLANK(INDEX(Initial_Component_aggregator!H:H,MATCH(F14,Initial_Component_aggregator!B:B))),E14,INDEX(Initial_Component_aggregator!J:J,MATCH(J14,Initial_Component_aggregator!H:H))))</f>
        <v xml:space="preserve"> </v>
      </c>
      <c r="M14" t="str" cm="1">
        <f t="array" ref="M14">IF(F14=0," ",IF(ISBLANK(INDEX(Initial_Component_aggregator!H:H,MATCH(F14,Initial_Component_aggregator!B:B))),F14,INDEX(Initial_Component_aggregator!K:K,MATCH(J14,Initial_Component_aggregator!H:H))))</f>
        <v xml:space="preserve"> </v>
      </c>
    </row>
    <row r="15" spans="1:13" ht="36" customHeight="1">
      <c r="A15"/>
      <c r="B15"/>
      <c r="C15"/>
      <c r="D15"/>
      <c r="E15"/>
      <c r="F15"/>
      <c r="G15"/>
      <c r="H15" t="str">
        <f t="shared" si="0"/>
        <v xml:space="preserve"> </v>
      </c>
      <c r="I15" t="str" cm="1">
        <f t="array" ref="I15">IF(F15=0," ",IF(ISBLANK(INDEX(Initial_Component_aggregator!F:F,MATCH(F15,Initial_Component_aggregator!B:B,0))),"No change",INDEX(Initial_Component_aggregator!F:F,MATCH(F15,Initial_Component_aggregator!B:B,0))))</f>
        <v xml:space="preserve"> </v>
      </c>
      <c r="J15" t="str" cm="1">
        <f t="array" ref="J15">IF(F15=0," ",IF(ISBLANK(INDEX(Initial_Component_aggregator!H:H,MATCH(F15,Initial_Component_aggregator!B:B,0))),F15,INDEX(Initial_Component_aggregator!H:H,MATCH(F15,Initial_Component_aggregator!B:B,0))))</f>
        <v xml:space="preserve"> </v>
      </c>
      <c r="K15" t="str" cm="1">
        <f t="array" ref="K15">IF(F15=0," ",IF(ISBLANK(INDEX(Initial_Component_aggregator!H:H,MATCH(F15,Initial_Component_aggregator!B:B))),D15,INDEX(Initial_Component_aggregator!I:I,MATCH(J15,Initial_Component_aggregator!H:H))))</f>
        <v xml:space="preserve"> </v>
      </c>
      <c r="L15" t="str" cm="1">
        <f t="array" ref="L15">IF(F15=0," ",IF(ISBLANK(INDEX(Initial_Component_aggregator!H:H,MATCH(F15,Initial_Component_aggregator!B:B))),E15,INDEX(Initial_Component_aggregator!J:J,MATCH(J15,Initial_Component_aggregator!H:H))))</f>
        <v xml:space="preserve"> </v>
      </c>
      <c r="M15" t="str" cm="1">
        <f t="array" ref="M15">IF(F15=0," ",IF(ISBLANK(INDEX(Initial_Component_aggregator!H:H,MATCH(F15,Initial_Component_aggregator!B:B))),F15,INDEX(Initial_Component_aggregator!K:K,MATCH(J15,Initial_Component_aggregator!H:H))))</f>
        <v xml:space="preserve"> </v>
      </c>
    </row>
    <row r="16" spans="1:13" ht="36" customHeight="1">
      <c r="A16"/>
      <c r="B16"/>
      <c r="C16"/>
      <c r="D16"/>
      <c r="E16"/>
      <c r="F16"/>
      <c r="G16"/>
      <c r="H16" t="str">
        <f t="shared" si="0"/>
        <v xml:space="preserve"> </v>
      </c>
      <c r="I16" t="str" cm="1">
        <f t="array" ref="I16">IF(F16=0," ",IF(ISBLANK(INDEX(Initial_Component_aggregator!F:F,MATCH(F16,Initial_Component_aggregator!B:B,0))),"No change",INDEX(Initial_Component_aggregator!F:F,MATCH(F16,Initial_Component_aggregator!B:B,0))))</f>
        <v xml:space="preserve"> </v>
      </c>
      <c r="J16" t="str" cm="1">
        <f t="array" ref="J16">IF(F16=0," ",IF(ISBLANK(INDEX(Initial_Component_aggregator!H:H,MATCH(F16,Initial_Component_aggregator!B:B,0))),F16,INDEX(Initial_Component_aggregator!H:H,MATCH(F16,Initial_Component_aggregator!B:B,0))))</f>
        <v xml:space="preserve"> </v>
      </c>
      <c r="K16" t="str" cm="1">
        <f t="array" ref="K16">IF(F16=0," ",IF(ISBLANK(INDEX(Initial_Component_aggregator!H:H,MATCH(F16,Initial_Component_aggregator!B:B))),D16,INDEX(Initial_Component_aggregator!I:I,MATCH(J16,Initial_Component_aggregator!H:H))))</f>
        <v xml:space="preserve"> </v>
      </c>
      <c r="L16" t="str" cm="1">
        <f t="array" ref="L16">IF(F16=0," ",IF(ISBLANK(INDEX(Initial_Component_aggregator!H:H,MATCH(F16,Initial_Component_aggregator!B:B))),E16,INDEX(Initial_Component_aggregator!J:J,MATCH(J16,Initial_Component_aggregator!H:H))))</f>
        <v xml:space="preserve"> </v>
      </c>
      <c r="M16" t="str" cm="1">
        <f t="array" ref="M16">IF(F16=0," ",IF(ISBLANK(INDEX(Initial_Component_aggregator!H:H,MATCH(F16,Initial_Component_aggregator!B:B))),F16,INDEX(Initial_Component_aggregator!K:K,MATCH(J16,Initial_Component_aggregator!H:H))))</f>
        <v xml:space="preserve"> </v>
      </c>
    </row>
    <row r="17" spans="1:13" ht="36" customHeight="1">
      <c r="A17"/>
      <c r="B17"/>
      <c r="C17"/>
      <c r="D17"/>
      <c r="E17"/>
      <c r="F17"/>
      <c r="G17"/>
      <c r="H17" t="str">
        <f t="shared" si="0"/>
        <v xml:space="preserve"> </v>
      </c>
      <c r="I17" t="str" cm="1">
        <f t="array" ref="I17">IF(F17=0," ",IF(ISBLANK(INDEX(Initial_Component_aggregator!F:F,MATCH(F17,Initial_Component_aggregator!B:B,0))),"No change",INDEX(Initial_Component_aggregator!F:F,MATCH(F17,Initial_Component_aggregator!B:B,0))))</f>
        <v xml:space="preserve"> </v>
      </c>
      <c r="J17" t="str" cm="1">
        <f t="array" ref="J17">IF(F17=0," ",IF(ISBLANK(INDEX(Initial_Component_aggregator!H:H,MATCH(F17,Initial_Component_aggregator!B:B,0))),F17,INDEX(Initial_Component_aggregator!H:H,MATCH(F17,Initial_Component_aggregator!B:B,0))))</f>
        <v xml:space="preserve"> </v>
      </c>
      <c r="K17" t="str" cm="1">
        <f t="array" ref="K17">IF(F17=0," ",IF(ISBLANK(INDEX(Initial_Component_aggregator!H:H,MATCH(F17,Initial_Component_aggregator!B:B))),D17,INDEX(Initial_Component_aggregator!I:I,MATCH(J17,Initial_Component_aggregator!H:H))))</f>
        <v xml:space="preserve"> </v>
      </c>
      <c r="L17" t="str" cm="1">
        <f t="array" ref="L17">IF(F17=0," ",IF(ISBLANK(INDEX(Initial_Component_aggregator!H:H,MATCH(F17,Initial_Component_aggregator!B:B))),E17,INDEX(Initial_Component_aggregator!J:J,MATCH(J17,Initial_Component_aggregator!H:H))))</f>
        <v xml:space="preserve"> </v>
      </c>
      <c r="M17" t="str" cm="1">
        <f t="array" ref="M17">IF(F17=0," ",IF(ISBLANK(INDEX(Initial_Component_aggregator!H:H,MATCH(F17,Initial_Component_aggregator!B:B))),F17,INDEX(Initial_Component_aggregator!K:K,MATCH(J17,Initial_Component_aggregator!H:H))))</f>
        <v xml:space="preserve"> </v>
      </c>
    </row>
    <row r="18" spans="1:13" ht="36" customHeight="1">
      <c r="A18"/>
      <c r="B18"/>
      <c r="C18"/>
      <c r="D18"/>
      <c r="E18"/>
      <c r="F18"/>
      <c r="G18"/>
      <c r="H18" t="str">
        <f t="shared" si="0"/>
        <v xml:space="preserve"> </v>
      </c>
      <c r="I18" t="str" cm="1">
        <f t="array" ref="I18">IF(F18=0," ",IF(ISBLANK(INDEX(Initial_Component_aggregator!F:F,MATCH(F18,Initial_Component_aggregator!B:B,0))),"No change",INDEX(Initial_Component_aggregator!F:F,MATCH(F18,Initial_Component_aggregator!B:B,0))))</f>
        <v xml:space="preserve"> </v>
      </c>
      <c r="J18" t="str" cm="1">
        <f t="array" ref="J18">IF(F18=0," ",IF(ISBLANK(INDEX(Initial_Component_aggregator!H:H,MATCH(F18,Initial_Component_aggregator!B:B,0))),F18,INDEX(Initial_Component_aggregator!H:H,MATCH(F18,Initial_Component_aggregator!B:B,0))))</f>
        <v xml:space="preserve"> </v>
      </c>
      <c r="K18" t="str" cm="1">
        <f t="array" ref="K18">IF(F18=0," ",IF(ISBLANK(INDEX(Initial_Component_aggregator!H:H,MATCH(F18,Initial_Component_aggregator!B:B))),D18,INDEX(Initial_Component_aggregator!I:I,MATCH(J18,Initial_Component_aggregator!H:H))))</f>
        <v xml:space="preserve"> </v>
      </c>
      <c r="L18" t="str" cm="1">
        <f t="array" ref="L18">IF(F18=0," ",IF(ISBLANK(INDEX(Initial_Component_aggregator!H:H,MATCH(F18,Initial_Component_aggregator!B:B))),E18,INDEX(Initial_Component_aggregator!J:J,MATCH(J18,Initial_Component_aggregator!H:H))))</f>
        <v xml:space="preserve"> </v>
      </c>
      <c r="M18" t="str" cm="1">
        <f t="array" ref="M18">IF(F18=0," ",IF(ISBLANK(INDEX(Initial_Component_aggregator!H:H,MATCH(F18,Initial_Component_aggregator!B:B))),F18,INDEX(Initial_Component_aggregator!K:K,MATCH(J18,Initial_Component_aggregator!H:H))))</f>
        <v xml:space="preserve"> </v>
      </c>
    </row>
    <row r="19" spans="1:13" ht="36" customHeight="1">
      <c r="A19"/>
      <c r="B19"/>
      <c r="C19"/>
      <c r="D19"/>
      <c r="E19"/>
      <c r="F19"/>
      <c r="G19"/>
      <c r="H19" t="str">
        <f t="shared" si="0"/>
        <v xml:space="preserve"> </v>
      </c>
      <c r="I19" t="str" cm="1">
        <f t="array" ref="I19">IF(F19=0," ",IF(ISBLANK(INDEX(Initial_Component_aggregator!F:F,MATCH(F19,Initial_Component_aggregator!B:B,0))),"No change",INDEX(Initial_Component_aggregator!F:F,MATCH(F19,Initial_Component_aggregator!B:B,0))))</f>
        <v xml:space="preserve"> </v>
      </c>
      <c r="J19" t="str" cm="1">
        <f t="array" ref="J19">IF(F19=0," ",IF(ISBLANK(INDEX(Initial_Component_aggregator!H:H,MATCH(F19,Initial_Component_aggregator!B:B,0))),F19,INDEX(Initial_Component_aggregator!H:H,MATCH(F19,Initial_Component_aggregator!B:B,0))))</f>
        <v xml:space="preserve"> </v>
      </c>
      <c r="K19" t="str" cm="1">
        <f t="array" ref="K19">IF(F19=0," ",IF(ISBLANK(INDEX(Initial_Component_aggregator!H:H,MATCH(F19,Initial_Component_aggregator!B:B))),D19,INDEX(Initial_Component_aggregator!I:I,MATCH(J19,Initial_Component_aggregator!H:H))))</f>
        <v xml:space="preserve"> </v>
      </c>
      <c r="L19" t="str" cm="1">
        <f t="array" ref="L19">IF(F19=0," ",IF(ISBLANK(INDEX(Initial_Component_aggregator!H:H,MATCH(F19,Initial_Component_aggregator!B:B))),E19,INDEX(Initial_Component_aggregator!J:J,MATCH(J19,Initial_Component_aggregator!H:H))))</f>
        <v xml:space="preserve"> </v>
      </c>
      <c r="M19" t="str" cm="1">
        <f t="array" ref="M19">IF(F19=0," ",IF(ISBLANK(INDEX(Initial_Component_aggregator!H:H,MATCH(F19,Initial_Component_aggregator!B:B))),F19,INDEX(Initial_Component_aggregator!K:K,MATCH(J19,Initial_Component_aggregator!H:H))))</f>
        <v xml:space="preserve"> </v>
      </c>
    </row>
    <row r="20" spans="1:13" ht="36" customHeight="1">
      <c r="A20"/>
      <c r="B20"/>
      <c r="C20"/>
      <c r="D20"/>
      <c r="E20"/>
      <c r="F20"/>
      <c r="G20"/>
      <c r="H20" t="str">
        <f t="shared" si="0"/>
        <v xml:space="preserve"> </v>
      </c>
      <c r="I20" t="str" cm="1">
        <f t="array" ref="I20">IF(F20=0," ",IF(ISBLANK(INDEX(Initial_Component_aggregator!F:F,MATCH(F20,Initial_Component_aggregator!B:B,0))),"No change",INDEX(Initial_Component_aggregator!F:F,MATCH(F20,Initial_Component_aggregator!B:B,0))))</f>
        <v xml:space="preserve"> </v>
      </c>
      <c r="J20" t="str" cm="1">
        <f t="array" ref="J20">IF(F20=0," ",IF(ISBLANK(INDEX(Initial_Component_aggregator!H:H,MATCH(F20,Initial_Component_aggregator!B:B,0))),F20,INDEX(Initial_Component_aggregator!H:H,MATCH(F20,Initial_Component_aggregator!B:B,0))))</f>
        <v xml:space="preserve"> </v>
      </c>
      <c r="K20" t="str" cm="1">
        <f t="array" ref="K20">IF(F20=0," ",IF(ISBLANK(INDEX(Initial_Component_aggregator!H:H,MATCH(F20,Initial_Component_aggregator!B:B))),D20,INDEX(Initial_Component_aggregator!I:I,MATCH(J20,Initial_Component_aggregator!H:H))))</f>
        <v xml:space="preserve"> </v>
      </c>
      <c r="L20" t="str" cm="1">
        <f t="array" ref="L20">IF(F20=0," ",IF(ISBLANK(INDEX(Initial_Component_aggregator!H:H,MATCH(F20,Initial_Component_aggregator!B:B))),E20,INDEX(Initial_Component_aggregator!J:J,MATCH(J20,Initial_Component_aggregator!H:H))))</f>
        <v xml:space="preserve"> </v>
      </c>
      <c r="M20" t="str" cm="1">
        <f t="array" ref="M20">IF(F20=0," ",IF(ISBLANK(INDEX(Initial_Component_aggregator!H:H,MATCH(F20,Initial_Component_aggregator!B:B))),F20,INDEX(Initial_Component_aggregator!K:K,MATCH(J20,Initial_Component_aggregator!H:H))))</f>
        <v xml:space="preserve"> </v>
      </c>
    </row>
    <row r="21" spans="1:13" ht="36" customHeight="1">
      <c r="A21"/>
      <c r="B21"/>
      <c r="C21"/>
      <c r="D21"/>
      <c r="E21"/>
      <c r="F21"/>
      <c r="G21"/>
      <c r="H21" t="str">
        <f t="shared" si="0"/>
        <v xml:space="preserve"> </v>
      </c>
      <c r="I21" t="str" cm="1">
        <f t="array" ref="I21">IF(F21=0," ",IF(ISBLANK(INDEX(Initial_Component_aggregator!F:F,MATCH(F21,Initial_Component_aggregator!B:B,0))),"No change",INDEX(Initial_Component_aggregator!F:F,MATCH(F21,Initial_Component_aggregator!B:B,0))))</f>
        <v xml:space="preserve"> </v>
      </c>
      <c r="J21" t="str" cm="1">
        <f t="array" ref="J21">IF(F21=0," ",IF(ISBLANK(INDEX(Initial_Component_aggregator!H:H,MATCH(F21,Initial_Component_aggregator!B:B,0))),F21,INDEX(Initial_Component_aggregator!H:H,MATCH(F21,Initial_Component_aggregator!B:B,0))))</f>
        <v xml:space="preserve"> </v>
      </c>
      <c r="K21" t="str" cm="1">
        <f t="array" ref="K21">IF(F21=0," ",IF(ISBLANK(INDEX(Initial_Component_aggregator!H:H,MATCH(F21,Initial_Component_aggregator!B:B))),D21,INDEX(Initial_Component_aggregator!I:I,MATCH(J21,Initial_Component_aggregator!H:H))))</f>
        <v xml:space="preserve"> </v>
      </c>
      <c r="L21" t="str" cm="1">
        <f t="array" ref="L21">IF(F21=0," ",IF(ISBLANK(INDEX(Initial_Component_aggregator!H:H,MATCH(F21,Initial_Component_aggregator!B:B))),E21,INDEX(Initial_Component_aggregator!J:J,MATCH(J21,Initial_Component_aggregator!H:H))))</f>
        <v xml:space="preserve"> </v>
      </c>
      <c r="M21" t="str" cm="1">
        <f t="array" ref="M21">IF(F21=0," ",IF(ISBLANK(INDEX(Initial_Component_aggregator!H:H,MATCH(F21,Initial_Component_aggregator!B:B))),F21,INDEX(Initial_Component_aggregator!K:K,MATCH(J21,Initial_Component_aggregator!H:H))))</f>
        <v xml:space="preserve"> </v>
      </c>
    </row>
    <row r="22" spans="1:13" ht="36" customHeight="1">
      <c r="A22"/>
      <c r="B22"/>
      <c r="C22"/>
      <c r="D22"/>
      <c r="E22"/>
      <c r="F22"/>
      <c r="G22"/>
      <c r="H22" t="str">
        <f t="shared" si="0"/>
        <v xml:space="preserve"> </v>
      </c>
      <c r="I22" t="str" cm="1">
        <f t="array" ref="I22">IF(F22=0," ",IF(ISBLANK(INDEX(Initial_Component_aggregator!F:F,MATCH(F22,Initial_Component_aggregator!B:B,0))),"No change",INDEX(Initial_Component_aggregator!F:F,MATCH(F22,Initial_Component_aggregator!B:B,0))))</f>
        <v xml:space="preserve"> </v>
      </c>
      <c r="J22" t="str" cm="1">
        <f t="array" ref="J22">IF(F22=0," ",IF(ISBLANK(INDEX(Initial_Component_aggregator!H:H,MATCH(F22,Initial_Component_aggregator!B:B,0))),F22,INDEX(Initial_Component_aggregator!H:H,MATCH(F22,Initial_Component_aggregator!B:B,0))))</f>
        <v xml:space="preserve"> </v>
      </c>
      <c r="K22" t="str" cm="1">
        <f t="array" ref="K22">IF(F22=0," ",IF(ISBLANK(INDEX(Initial_Component_aggregator!H:H,MATCH(F22,Initial_Component_aggregator!B:B))),D22,INDEX(Initial_Component_aggregator!I:I,MATCH(J22,Initial_Component_aggregator!H:H))))</f>
        <v xml:space="preserve"> </v>
      </c>
      <c r="L22" t="str" cm="1">
        <f t="array" ref="L22">IF(F22=0," ",IF(ISBLANK(INDEX(Initial_Component_aggregator!H:H,MATCH(F22,Initial_Component_aggregator!B:B))),E22,INDEX(Initial_Component_aggregator!J:J,MATCH(J22,Initial_Component_aggregator!H:H))))</f>
        <v xml:space="preserve"> </v>
      </c>
      <c r="M22" t="str" cm="1">
        <f t="array" ref="M22">IF(F22=0," ",IF(ISBLANK(INDEX(Initial_Component_aggregator!H:H,MATCH(F22,Initial_Component_aggregator!B:B))),F22,INDEX(Initial_Component_aggregator!K:K,MATCH(J22,Initial_Component_aggregator!H:H))))</f>
        <v xml:space="preserve"> </v>
      </c>
    </row>
    <row r="23" spans="1:13" ht="36" customHeight="1">
      <c r="A23"/>
      <c r="B23"/>
      <c r="C23"/>
      <c r="D23"/>
      <c r="E23"/>
      <c r="F23"/>
      <c r="G23"/>
      <c r="H23" t="str">
        <f t="shared" si="0"/>
        <v xml:space="preserve"> </v>
      </c>
      <c r="I23" t="str" cm="1">
        <f t="array" ref="I23">IF(F23=0," ",IF(ISBLANK(INDEX(Initial_Component_aggregator!F:F,MATCH(F23,Initial_Component_aggregator!B:B,0))),"No change",INDEX(Initial_Component_aggregator!F:F,MATCH(F23,Initial_Component_aggregator!B:B,0))))</f>
        <v xml:space="preserve"> </v>
      </c>
      <c r="J23" t="str" cm="1">
        <f t="array" ref="J23">IF(F23=0," ",IF(ISBLANK(INDEX(Initial_Component_aggregator!H:H,MATCH(F23,Initial_Component_aggregator!B:B,0))),F23,INDEX(Initial_Component_aggregator!H:H,MATCH(F23,Initial_Component_aggregator!B:B,0))))</f>
        <v xml:space="preserve"> </v>
      </c>
      <c r="K23" t="str" cm="1">
        <f t="array" ref="K23">IF(F23=0," ",IF(ISBLANK(INDEX(Initial_Component_aggregator!H:H,MATCH(F23,Initial_Component_aggregator!B:B))),D23,INDEX(Initial_Component_aggregator!I:I,MATCH(J23,Initial_Component_aggregator!H:H))))</f>
        <v xml:space="preserve"> </v>
      </c>
      <c r="L23" t="str" cm="1">
        <f t="array" ref="L23">IF(F23=0," ",IF(ISBLANK(INDEX(Initial_Component_aggregator!H:H,MATCH(F23,Initial_Component_aggregator!B:B))),E23,INDEX(Initial_Component_aggregator!J:J,MATCH(J23,Initial_Component_aggregator!H:H))))</f>
        <v xml:space="preserve"> </v>
      </c>
      <c r="M23" t="str" cm="1">
        <f t="array" ref="M23">IF(F23=0," ",IF(ISBLANK(INDEX(Initial_Component_aggregator!H:H,MATCH(F23,Initial_Component_aggregator!B:B))),F23,INDEX(Initial_Component_aggregator!K:K,MATCH(J23,Initial_Component_aggregator!H:H))))</f>
        <v xml:space="preserve"> </v>
      </c>
    </row>
    <row r="24" spans="1:13" ht="36" customHeight="1">
      <c r="A24"/>
      <c r="B24"/>
      <c r="C24"/>
      <c r="D24"/>
      <c r="E24"/>
      <c r="F24"/>
      <c r="G24"/>
      <c r="H24" t="str">
        <f t="shared" si="0"/>
        <v xml:space="preserve"> </v>
      </c>
      <c r="I24" t="str" cm="1">
        <f t="array" ref="I24">IF(F24=0," ",IF(ISBLANK(INDEX(Initial_Component_aggregator!F:F,MATCH(F24,Initial_Component_aggregator!B:B,0))),"No change",INDEX(Initial_Component_aggregator!F:F,MATCH(F24,Initial_Component_aggregator!B:B,0))))</f>
        <v xml:space="preserve"> </v>
      </c>
      <c r="J24" t="str" cm="1">
        <f t="array" ref="J24">IF(F24=0," ",IF(ISBLANK(INDEX(Initial_Component_aggregator!H:H,MATCH(F24,Initial_Component_aggregator!B:B,0))),F24,INDEX(Initial_Component_aggregator!H:H,MATCH(F24,Initial_Component_aggregator!B:B,0))))</f>
        <v xml:space="preserve"> </v>
      </c>
      <c r="K24" t="str" cm="1">
        <f t="array" ref="K24">IF(F24=0," ",IF(ISBLANK(INDEX(Initial_Component_aggregator!H:H,MATCH(F24,Initial_Component_aggregator!B:B))),D24,INDEX(Initial_Component_aggregator!I:I,MATCH(J24,Initial_Component_aggregator!H:H))))</f>
        <v xml:space="preserve"> </v>
      </c>
      <c r="L24" t="str" cm="1">
        <f t="array" ref="L24">IF(F24=0," ",IF(ISBLANK(INDEX(Initial_Component_aggregator!H:H,MATCH(F24,Initial_Component_aggregator!B:B))),E24,INDEX(Initial_Component_aggregator!J:J,MATCH(J24,Initial_Component_aggregator!H:H))))</f>
        <v xml:space="preserve"> </v>
      </c>
      <c r="M24" t="str" cm="1">
        <f t="array" ref="M24">IF(F24=0," ",IF(ISBLANK(INDEX(Initial_Component_aggregator!H:H,MATCH(F24,Initial_Component_aggregator!B:B))),F24,INDEX(Initial_Component_aggregator!K:K,MATCH(J24,Initial_Component_aggregator!H:H))))</f>
        <v xml:space="preserve"> </v>
      </c>
    </row>
    <row r="25" spans="1:13" ht="36" customHeight="1">
      <c r="A25"/>
      <c r="B25"/>
      <c r="C25"/>
      <c r="D25"/>
      <c r="E25"/>
      <c r="F25"/>
      <c r="G25"/>
      <c r="H25" t="str">
        <f t="shared" si="0"/>
        <v xml:space="preserve"> </v>
      </c>
      <c r="I25" t="str" cm="1">
        <f t="array" ref="I25">IF(F25=0," ",IF(ISBLANK(INDEX(Initial_Component_aggregator!F:F,MATCH(F25,Initial_Component_aggregator!B:B,0))),"No change",INDEX(Initial_Component_aggregator!F:F,MATCH(F25,Initial_Component_aggregator!B:B,0))))</f>
        <v xml:space="preserve"> </v>
      </c>
      <c r="J25" t="str" cm="1">
        <f t="array" ref="J25">IF(F25=0," ",IF(ISBLANK(INDEX(Initial_Component_aggregator!H:H,MATCH(F25,Initial_Component_aggregator!B:B,0))),F25,INDEX(Initial_Component_aggregator!H:H,MATCH(F25,Initial_Component_aggregator!B:B,0))))</f>
        <v xml:space="preserve"> </v>
      </c>
      <c r="K25" t="str" cm="1">
        <f t="array" ref="K25">IF(F25=0," ",IF(ISBLANK(INDEX(Initial_Component_aggregator!H:H,MATCH(F25,Initial_Component_aggregator!B:B))),D25,INDEX(Initial_Component_aggregator!I:I,MATCH(J25,Initial_Component_aggregator!H:H))))</f>
        <v xml:space="preserve"> </v>
      </c>
      <c r="L25" t="str" cm="1">
        <f t="array" ref="L25">IF(F25=0," ",IF(ISBLANK(INDEX(Initial_Component_aggregator!H:H,MATCH(F25,Initial_Component_aggregator!B:B))),E25,INDEX(Initial_Component_aggregator!J:J,MATCH(J25,Initial_Component_aggregator!H:H))))</f>
        <v xml:space="preserve"> </v>
      </c>
      <c r="M25" t="str" cm="1">
        <f t="array" ref="M25">IF(F25=0," ",IF(ISBLANK(INDEX(Initial_Component_aggregator!H:H,MATCH(F25,Initial_Component_aggregator!B:B))),F25,INDEX(Initial_Component_aggregator!K:K,MATCH(J25,Initial_Component_aggregator!H:H))))</f>
        <v xml:space="preserve"> </v>
      </c>
    </row>
    <row r="26" spans="1:13" ht="36" customHeight="1">
      <c r="A26"/>
      <c r="B26"/>
      <c r="C26"/>
      <c r="D26"/>
      <c r="E26"/>
      <c r="F26"/>
      <c r="G26"/>
      <c r="H26" t="str">
        <f t="shared" si="0"/>
        <v xml:space="preserve"> </v>
      </c>
      <c r="I26" t="str" cm="1">
        <f t="array" ref="I26">IF(F26=0," ",IF(ISBLANK(INDEX(Initial_Component_aggregator!F:F,MATCH(F26,Initial_Component_aggregator!B:B,0))),"No change",INDEX(Initial_Component_aggregator!F:F,MATCH(F26,Initial_Component_aggregator!B:B,0))))</f>
        <v xml:space="preserve"> </v>
      </c>
      <c r="J26" t="str" cm="1">
        <f t="array" ref="J26">IF(F26=0," ",IF(ISBLANK(INDEX(Initial_Component_aggregator!H:H,MATCH(F26,Initial_Component_aggregator!B:B,0))),F26,INDEX(Initial_Component_aggregator!H:H,MATCH(F26,Initial_Component_aggregator!B:B,0))))</f>
        <v xml:space="preserve"> </v>
      </c>
      <c r="K26" t="str" cm="1">
        <f t="array" ref="K26">IF(F26=0," ",IF(ISBLANK(INDEX(Initial_Component_aggregator!H:H,MATCH(F26,Initial_Component_aggregator!B:B))),D26,INDEX(Initial_Component_aggregator!I:I,MATCH(J26,Initial_Component_aggregator!H:H))))</f>
        <v xml:space="preserve"> </v>
      </c>
      <c r="L26" t="str" cm="1">
        <f t="array" ref="L26">IF(F26=0," ",IF(ISBLANK(INDEX(Initial_Component_aggregator!H:H,MATCH(F26,Initial_Component_aggregator!B:B))),E26,INDEX(Initial_Component_aggregator!J:J,MATCH(J26,Initial_Component_aggregator!H:H))))</f>
        <v xml:space="preserve"> </v>
      </c>
      <c r="M26" t="str" cm="1">
        <f t="array" ref="M26">IF(F26=0," ",IF(ISBLANK(INDEX(Initial_Component_aggregator!H:H,MATCH(F26,Initial_Component_aggregator!B:B))),F26,INDEX(Initial_Component_aggregator!K:K,MATCH(J26,Initial_Component_aggregator!H:H))))</f>
        <v xml:space="preserve"> </v>
      </c>
    </row>
    <row r="27" spans="1:13" ht="36" customHeight="1">
      <c r="A27"/>
      <c r="B27"/>
      <c r="C27"/>
      <c r="D27"/>
      <c r="E27"/>
      <c r="F27"/>
      <c r="G27"/>
      <c r="H27" t="str">
        <f t="shared" si="0"/>
        <v xml:space="preserve"> </v>
      </c>
      <c r="I27" t="str" cm="1">
        <f t="array" ref="I27">IF(F27=0," ",IF(ISBLANK(INDEX(Initial_Component_aggregator!F:F,MATCH(F27,Initial_Component_aggregator!B:B,0))),"No change",INDEX(Initial_Component_aggregator!F:F,MATCH(F27,Initial_Component_aggregator!B:B,0))))</f>
        <v xml:space="preserve"> </v>
      </c>
      <c r="J27" t="str" cm="1">
        <f t="array" ref="J27">IF(F27=0," ",IF(ISBLANK(INDEX(Initial_Component_aggregator!H:H,MATCH(F27,Initial_Component_aggregator!B:B,0))),F27,INDEX(Initial_Component_aggregator!H:H,MATCH(F27,Initial_Component_aggregator!B:B,0))))</f>
        <v xml:space="preserve"> </v>
      </c>
      <c r="K27" t="str" cm="1">
        <f t="array" ref="K27">IF(F27=0," ",IF(ISBLANK(INDEX(Initial_Component_aggregator!H:H,MATCH(F27,Initial_Component_aggregator!B:B))),D27,INDEX(Initial_Component_aggregator!I:I,MATCH(J27,Initial_Component_aggregator!H:H))))</f>
        <v xml:space="preserve"> </v>
      </c>
      <c r="L27" t="str" cm="1">
        <f t="array" ref="L27">IF(F27=0," ",IF(ISBLANK(INDEX(Initial_Component_aggregator!H:H,MATCH(F27,Initial_Component_aggregator!B:B))),E27,INDEX(Initial_Component_aggregator!J:J,MATCH(J27,Initial_Component_aggregator!H:H))))</f>
        <v xml:space="preserve"> </v>
      </c>
      <c r="M27" t="str" cm="1">
        <f t="array" ref="M27">IF(F27=0," ",IF(ISBLANK(INDEX(Initial_Component_aggregator!H:H,MATCH(F27,Initial_Component_aggregator!B:B))),F27,INDEX(Initial_Component_aggregator!K:K,MATCH(J27,Initial_Component_aggregator!H:H))))</f>
        <v xml:space="preserve"> </v>
      </c>
    </row>
    <row r="28" spans="1:13" ht="36" customHeight="1">
      <c r="A28"/>
      <c r="B28"/>
      <c r="C28"/>
      <c r="D28"/>
      <c r="E28"/>
      <c r="F28"/>
      <c r="G28"/>
      <c r="H28" t="str">
        <f t="shared" si="0"/>
        <v xml:space="preserve"> </v>
      </c>
      <c r="I28" t="str" cm="1">
        <f t="array" ref="I28">IF(F28=0," ",IF(ISBLANK(INDEX(Initial_Component_aggregator!F:F,MATCH(F28,Initial_Component_aggregator!B:B,0))),"No change",INDEX(Initial_Component_aggregator!F:F,MATCH(F28,Initial_Component_aggregator!B:B,0))))</f>
        <v xml:space="preserve"> </v>
      </c>
      <c r="J28" t="str" cm="1">
        <f t="array" ref="J28">IF(F28=0," ",IF(ISBLANK(INDEX(Initial_Component_aggregator!H:H,MATCH(F28,Initial_Component_aggregator!B:B,0))),F28,INDEX(Initial_Component_aggregator!H:H,MATCH(F28,Initial_Component_aggregator!B:B,0))))</f>
        <v xml:space="preserve"> </v>
      </c>
      <c r="K28" t="str" cm="1">
        <f t="array" ref="K28">IF(F28=0," ",IF(ISBLANK(INDEX(Initial_Component_aggregator!H:H,MATCH(F28,Initial_Component_aggregator!B:B))),D28,INDEX(Initial_Component_aggregator!I:I,MATCH(J28,Initial_Component_aggregator!H:H))))</f>
        <v xml:space="preserve"> </v>
      </c>
      <c r="L28" t="str" cm="1">
        <f t="array" ref="L28">IF(F28=0," ",IF(ISBLANK(INDEX(Initial_Component_aggregator!H:H,MATCH(F28,Initial_Component_aggregator!B:B))),E28,INDEX(Initial_Component_aggregator!J:J,MATCH(J28,Initial_Component_aggregator!H:H))))</f>
        <v xml:space="preserve"> </v>
      </c>
      <c r="M28" t="str" cm="1">
        <f t="array" ref="M28">IF(F28=0," ",IF(ISBLANK(INDEX(Initial_Component_aggregator!H:H,MATCH(F28,Initial_Component_aggregator!B:B))),F28,INDEX(Initial_Component_aggregator!K:K,MATCH(J28,Initial_Component_aggregator!H:H))))</f>
        <v xml:space="preserve"> </v>
      </c>
    </row>
    <row r="29" spans="1:13" ht="36" customHeight="1">
      <c r="A29"/>
      <c r="B29"/>
      <c r="C29"/>
      <c r="D29"/>
      <c r="E29"/>
      <c r="F29"/>
      <c r="G29"/>
      <c r="H29" t="str">
        <f t="shared" si="0"/>
        <v xml:space="preserve"> </v>
      </c>
      <c r="I29" t="str" cm="1">
        <f t="array" ref="I29">IF(F29=0," ",IF(ISBLANK(INDEX(Initial_Component_aggregator!F:F,MATCH(F29,Initial_Component_aggregator!B:B,0))),"No change",INDEX(Initial_Component_aggregator!F:F,MATCH(F29,Initial_Component_aggregator!B:B,0))))</f>
        <v xml:space="preserve"> </v>
      </c>
      <c r="J29" t="str" cm="1">
        <f t="array" ref="J29">IF(F29=0," ",IF(ISBLANK(INDEX(Initial_Component_aggregator!H:H,MATCH(F29,Initial_Component_aggregator!B:B,0))),F29,INDEX(Initial_Component_aggregator!H:H,MATCH(F29,Initial_Component_aggregator!B:B,0))))</f>
        <v xml:space="preserve"> </v>
      </c>
      <c r="K29" t="str" cm="1">
        <f t="array" ref="K29">IF(F29=0," ",IF(ISBLANK(INDEX(Initial_Component_aggregator!H:H,MATCH(F29,Initial_Component_aggregator!B:B))),D29,INDEX(Initial_Component_aggregator!I:I,MATCH(J29,Initial_Component_aggregator!H:H))))</f>
        <v xml:space="preserve"> </v>
      </c>
      <c r="L29" t="str" cm="1">
        <f t="array" ref="L29">IF(F29=0," ",IF(ISBLANK(INDEX(Initial_Component_aggregator!H:H,MATCH(F29,Initial_Component_aggregator!B:B))),E29,INDEX(Initial_Component_aggregator!J:J,MATCH(J29,Initial_Component_aggregator!H:H))))</f>
        <v xml:space="preserve"> </v>
      </c>
      <c r="M29" t="str" cm="1">
        <f t="array" ref="M29">IF(F29=0," ",IF(ISBLANK(INDEX(Initial_Component_aggregator!H:H,MATCH(F29,Initial_Component_aggregator!B:B))),F29,INDEX(Initial_Component_aggregator!K:K,MATCH(J29,Initial_Component_aggregator!H:H))))</f>
        <v xml:space="preserve"> </v>
      </c>
    </row>
    <row r="30" spans="1:13" ht="36" customHeight="1">
      <c r="A30"/>
      <c r="B30"/>
      <c r="C30"/>
      <c r="D30"/>
      <c r="E30"/>
      <c r="F30"/>
      <c r="G30"/>
      <c r="H30" t="str">
        <f t="shared" si="0"/>
        <v xml:space="preserve"> </v>
      </c>
      <c r="I30" t="str" cm="1">
        <f t="array" ref="I30">IF(F30=0," ",IF(ISBLANK(INDEX(Initial_Component_aggregator!F:F,MATCH(F30,Initial_Component_aggregator!B:B,0))),"No change",INDEX(Initial_Component_aggregator!F:F,MATCH(F30,Initial_Component_aggregator!B:B,0))))</f>
        <v xml:space="preserve"> </v>
      </c>
      <c r="J30" t="str" cm="1">
        <f t="array" ref="J30">IF(F30=0," ",IF(ISBLANK(INDEX(Initial_Component_aggregator!H:H,MATCH(F30,Initial_Component_aggregator!B:B,0))),F30,INDEX(Initial_Component_aggregator!H:H,MATCH(F30,Initial_Component_aggregator!B:B,0))))</f>
        <v xml:space="preserve"> </v>
      </c>
      <c r="K30" t="str" cm="1">
        <f t="array" ref="K30">IF(F30=0," ",IF(ISBLANK(INDEX(Initial_Component_aggregator!H:H,MATCH(F30,Initial_Component_aggregator!B:B))),D30,INDEX(Initial_Component_aggregator!I:I,MATCH(J30,Initial_Component_aggregator!H:H))))</f>
        <v xml:space="preserve"> </v>
      </c>
      <c r="L30" t="str" cm="1">
        <f t="array" ref="L30">IF(F30=0," ",IF(ISBLANK(INDEX(Initial_Component_aggregator!H:H,MATCH(F30,Initial_Component_aggregator!B:B))),E30,INDEX(Initial_Component_aggregator!J:J,MATCH(J30,Initial_Component_aggregator!H:H))))</f>
        <v xml:space="preserve"> </v>
      </c>
      <c r="M30" t="str" cm="1">
        <f t="array" ref="M30">IF(F30=0," ",IF(ISBLANK(INDEX(Initial_Component_aggregator!H:H,MATCH(F30,Initial_Component_aggregator!B:B))),F30,INDEX(Initial_Component_aggregator!K:K,MATCH(J30,Initial_Component_aggregator!H:H))))</f>
        <v xml:space="preserve"> </v>
      </c>
    </row>
    <row r="31" spans="1:13" ht="36" customHeight="1">
      <c r="A31"/>
      <c r="B31"/>
      <c r="C31"/>
      <c r="D31"/>
      <c r="E31"/>
      <c r="F31"/>
      <c r="G31"/>
      <c r="H31" t="str">
        <f t="shared" si="0"/>
        <v xml:space="preserve"> </v>
      </c>
      <c r="I31" t="str" cm="1">
        <f t="array" ref="I31">IF(F31=0," ",IF(ISBLANK(INDEX(Initial_Component_aggregator!F:F,MATCH(F31,Initial_Component_aggregator!B:B,0))),"No change",INDEX(Initial_Component_aggregator!F:F,MATCH(F31,Initial_Component_aggregator!B:B,0))))</f>
        <v xml:space="preserve"> </v>
      </c>
      <c r="J31" t="str" cm="1">
        <f t="array" ref="J31">IF(F31=0," ",IF(ISBLANK(INDEX(Initial_Component_aggregator!H:H,MATCH(F31,Initial_Component_aggregator!B:B,0))),F31,INDEX(Initial_Component_aggregator!H:H,MATCH(F31,Initial_Component_aggregator!B:B,0))))</f>
        <v xml:space="preserve"> </v>
      </c>
      <c r="K31" t="str" cm="1">
        <f t="array" ref="K31">IF(F31=0," ",IF(ISBLANK(INDEX(Initial_Component_aggregator!H:H,MATCH(F31,Initial_Component_aggregator!B:B))),D31,INDEX(Initial_Component_aggregator!I:I,MATCH(J31,Initial_Component_aggregator!H:H))))</f>
        <v xml:space="preserve"> </v>
      </c>
      <c r="L31" t="str" cm="1">
        <f t="array" ref="L31">IF(F31=0," ",IF(ISBLANK(INDEX(Initial_Component_aggregator!H:H,MATCH(F31,Initial_Component_aggregator!B:B))),E31,INDEX(Initial_Component_aggregator!J:J,MATCH(J31,Initial_Component_aggregator!H:H))))</f>
        <v xml:space="preserve"> </v>
      </c>
      <c r="M31" t="str" cm="1">
        <f t="array" ref="M31">IF(F31=0," ",IF(ISBLANK(INDEX(Initial_Component_aggregator!H:H,MATCH(F31,Initial_Component_aggregator!B:B))),F31,INDEX(Initial_Component_aggregator!K:K,MATCH(J31,Initial_Component_aggregator!H:H))))</f>
        <v xml:space="preserve"> </v>
      </c>
    </row>
    <row r="32" spans="1:13" ht="36" customHeight="1">
      <c r="A32"/>
      <c r="B32"/>
      <c r="C32"/>
      <c r="D32"/>
      <c r="E32"/>
      <c r="F32"/>
      <c r="G32"/>
      <c r="H32" t="str">
        <f t="shared" si="0"/>
        <v xml:space="preserve"> </v>
      </c>
      <c r="I32" t="str" cm="1">
        <f t="array" ref="I32">IF(F32=0," ",IF(ISBLANK(INDEX(Initial_Component_aggregator!F:F,MATCH(F32,Initial_Component_aggregator!B:B,0))),"No change",INDEX(Initial_Component_aggregator!F:F,MATCH(F32,Initial_Component_aggregator!B:B,0))))</f>
        <v xml:space="preserve"> </v>
      </c>
      <c r="J32" t="str" cm="1">
        <f t="array" ref="J32">IF(F32=0," ",IF(ISBLANK(INDEX(Initial_Component_aggregator!H:H,MATCH(F32,Initial_Component_aggregator!B:B,0))),F32,INDEX(Initial_Component_aggregator!H:H,MATCH(F32,Initial_Component_aggregator!B:B,0))))</f>
        <v xml:space="preserve"> </v>
      </c>
      <c r="K32" t="str" cm="1">
        <f t="array" ref="K32">IF(F32=0," ",IF(ISBLANK(INDEX(Initial_Component_aggregator!H:H,MATCH(F32,Initial_Component_aggregator!B:B))),D32,INDEX(Initial_Component_aggregator!I:I,MATCH(J32,Initial_Component_aggregator!H:H))))</f>
        <v xml:space="preserve"> </v>
      </c>
      <c r="L32" t="str" cm="1">
        <f t="array" ref="L32">IF(F32=0," ",IF(ISBLANK(INDEX(Initial_Component_aggregator!H:H,MATCH(F32,Initial_Component_aggregator!B:B))),E32,INDEX(Initial_Component_aggregator!J:J,MATCH(J32,Initial_Component_aggregator!H:H))))</f>
        <v xml:space="preserve"> </v>
      </c>
      <c r="M32" t="str" cm="1">
        <f t="array" ref="M32">IF(F32=0," ",IF(ISBLANK(INDEX(Initial_Component_aggregator!H:H,MATCH(F32,Initial_Component_aggregator!B:B))),F32,INDEX(Initial_Component_aggregator!K:K,MATCH(J32,Initial_Component_aggregator!H:H))))</f>
        <v xml:space="preserve"> </v>
      </c>
    </row>
    <row r="33" spans="1:13" ht="36" customHeight="1">
      <c r="A33"/>
      <c r="B33"/>
      <c r="C33"/>
      <c r="D33"/>
      <c r="E33"/>
      <c r="F33"/>
      <c r="G33"/>
      <c r="H33" t="str">
        <f t="shared" si="0"/>
        <v xml:space="preserve"> </v>
      </c>
      <c r="I33" t="str" cm="1">
        <f t="array" ref="I33">IF(F33=0," ",IF(ISBLANK(INDEX(Initial_Component_aggregator!F:F,MATCH(F33,Initial_Component_aggregator!B:B,0))),"No change",INDEX(Initial_Component_aggregator!F:F,MATCH(F33,Initial_Component_aggregator!B:B,0))))</f>
        <v xml:space="preserve"> </v>
      </c>
      <c r="J33" t="str" cm="1">
        <f t="array" ref="J33">IF(F33=0," ",IF(ISBLANK(INDEX(Initial_Component_aggregator!H:H,MATCH(F33,Initial_Component_aggregator!B:B,0))),F33,INDEX(Initial_Component_aggregator!H:H,MATCH(F33,Initial_Component_aggregator!B:B,0))))</f>
        <v xml:space="preserve"> </v>
      </c>
      <c r="K33" t="str" cm="1">
        <f t="array" ref="K33">IF(F33=0," ",IF(ISBLANK(INDEX(Initial_Component_aggregator!H:H,MATCH(F33,Initial_Component_aggregator!B:B))),D33,INDEX(Initial_Component_aggregator!I:I,MATCH(J33,Initial_Component_aggregator!H:H))))</f>
        <v xml:space="preserve"> </v>
      </c>
      <c r="L33" t="str" cm="1">
        <f t="array" ref="L33">IF(F33=0," ",IF(ISBLANK(INDEX(Initial_Component_aggregator!H:H,MATCH(F33,Initial_Component_aggregator!B:B))),E33,INDEX(Initial_Component_aggregator!J:J,MATCH(J33,Initial_Component_aggregator!H:H))))</f>
        <v xml:space="preserve"> </v>
      </c>
      <c r="M33" t="str" cm="1">
        <f t="array" ref="M33">IF(F33=0," ",IF(ISBLANK(INDEX(Initial_Component_aggregator!H:H,MATCH(F33,Initial_Component_aggregator!B:B))),F33,INDEX(Initial_Component_aggregator!K:K,MATCH(J33,Initial_Component_aggregator!H:H))))</f>
        <v xml:space="preserve"> </v>
      </c>
    </row>
    <row r="34" spans="1:13" ht="36" customHeight="1">
      <c r="A34"/>
      <c r="B34"/>
      <c r="C34"/>
      <c r="D34"/>
      <c r="E34"/>
      <c r="F34"/>
      <c r="G34"/>
      <c r="H34" t="str">
        <f t="shared" si="0"/>
        <v xml:space="preserve"> </v>
      </c>
      <c r="I34" t="str" cm="1">
        <f t="array" ref="I34">IF(F34=0," ",IF(ISBLANK(INDEX(Initial_Component_aggregator!F:F,MATCH(F34,Initial_Component_aggregator!B:B,0))),"No change",INDEX(Initial_Component_aggregator!F:F,MATCH(F34,Initial_Component_aggregator!B:B,0))))</f>
        <v xml:space="preserve"> </v>
      </c>
      <c r="J34" t="str" cm="1">
        <f t="array" ref="J34">IF(F34=0," ",IF(ISBLANK(INDEX(Initial_Component_aggregator!H:H,MATCH(F34,Initial_Component_aggregator!B:B,0))),F34,INDEX(Initial_Component_aggregator!H:H,MATCH(F34,Initial_Component_aggregator!B:B,0))))</f>
        <v xml:space="preserve"> </v>
      </c>
      <c r="K34" t="str" cm="1">
        <f t="array" ref="K34">IF(F34=0," ",IF(ISBLANK(INDEX(Initial_Component_aggregator!H:H,MATCH(F34,Initial_Component_aggregator!B:B))),D34,INDEX(Initial_Component_aggregator!I:I,MATCH(J34,Initial_Component_aggregator!H:H))))</f>
        <v xml:space="preserve"> </v>
      </c>
      <c r="L34" t="str" cm="1">
        <f t="array" ref="L34">IF(F34=0," ",IF(ISBLANK(INDEX(Initial_Component_aggregator!H:H,MATCH(F34,Initial_Component_aggregator!B:B))),E34,INDEX(Initial_Component_aggregator!J:J,MATCH(J34,Initial_Component_aggregator!H:H))))</f>
        <v xml:space="preserve"> </v>
      </c>
      <c r="M34" t="str" cm="1">
        <f t="array" ref="M34">IF(F34=0," ",IF(ISBLANK(INDEX(Initial_Component_aggregator!H:H,MATCH(F34,Initial_Component_aggregator!B:B))),F34,INDEX(Initial_Component_aggregator!K:K,MATCH(J34,Initial_Component_aggregator!H:H))))</f>
        <v xml:space="preserve"> </v>
      </c>
    </row>
    <row r="35" spans="1:13" ht="36" customHeight="1">
      <c r="A35"/>
      <c r="B35"/>
      <c r="C35"/>
      <c r="D35"/>
      <c r="E35"/>
      <c r="F35"/>
      <c r="G35"/>
      <c r="H35" t="str">
        <f t="shared" si="0"/>
        <v xml:space="preserve"> </v>
      </c>
      <c r="I35" t="str" cm="1">
        <f t="array" ref="I35">IF(F35=0," ",IF(ISBLANK(INDEX(Initial_Component_aggregator!F:F,MATCH(F35,Initial_Component_aggregator!B:B,0))),"No change",INDEX(Initial_Component_aggregator!F:F,MATCH(F35,Initial_Component_aggregator!B:B,0))))</f>
        <v xml:space="preserve"> </v>
      </c>
      <c r="J35" t="str" cm="1">
        <f t="array" ref="J35">IF(F35=0," ",IF(ISBLANK(INDEX(Initial_Component_aggregator!H:H,MATCH(F35,Initial_Component_aggregator!B:B,0))),F35,INDEX(Initial_Component_aggregator!H:H,MATCH(F35,Initial_Component_aggregator!B:B,0))))</f>
        <v xml:space="preserve"> </v>
      </c>
      <c r="K35" t="str" cm="1">
        <f t="array" ref="K35">IF(F35=0," ",IF(ISBLANK(INDEX(Initial_Component_aggregator!H:H,MATCH(F35,Initial_Component_aggregator!B:B))),D35,INDEX(Initial_Component_aggregator!I:I,MATCH(J35,Initial_Component_aggregator!H:H))))</f>
        <v xml:space="preserve"> </v>
      </c>
      <c r="L35" t="str" cm="1">
        <f t="array" ref="L35">IF(F35=0," ",IF(ISBLANK(INDEX(Initial_Component_aggregator!H:H,MATCH(F35,Initial_Component_aggregator!B:B))),E35,INDEX(Initial_Component_aggregator!J:J,MATCH(J35,Initial_Component_aggregator!H:H))))</f>
        <v xml:space="preserve"> </v>
      </c>
      <c r="M35" t="str" cm="1">
        <f t="array" ref="M35">IF(F35=0," ",IF(ISBLANK(INDEX(Initial_Component_aggregator!H:H,MATCH(F35,Initial_Component_aggregator!B:B))),F35,INDEX(Initial_Component_aggregator!K:K,MATCH(J35,Initial_Component_aggregator!H:H))))</f>
        <v xml:space="preserve"> </v>
      </c>
    </row>
    <row r="36" spans="1:13" ht="36" customHeight="1">
      <c r="A36"/>
      <c r="B36"/>
      <c r="C36"/>
      <c r="D36"/>
      <c r="E36"/>
      <c r="F36"/>
      <c r="G36"/>
      <c r="H36" t="str">
        <f t="shared" si="0"/>
        <v xml:space="preserve"> </v>
      </c>
      <c r="I36" t="str" cm="1">
        <f t="array" ref="I36">IF(F36=0," ",IF(ISBLANK(INDEX(Initial_Component_aggregator!F:F,MATCH(F36,Initial_Component_aggregator!B:B,0))),"No change",INDEX(Initial_Component_aggregator!F:F,MATCH(F36,Initial_Component_aggregator!B:B,0))))</f>
        <v xml:space="preserve"> </v>
      </c>
      <c r="J36" t="str" cm="1">
        <f t="array" ref="J36">IF(F36=0," ",IF(ISBLANK(INDEX(Initial_Component_aggregator!H:H,MATCH(F36,Initial_Component_aggregator!B:B,0))),F36,INDEX(Initial_Component_aggregator!H:H,MATCH(F36,Initial_Component_aggregator!B:B,0))))</f>
        <v xml:space="preserve"> </v>
      </c>
      <c r="K36" t="str" cm="1">
        <f t="array" ref="K36">IF(F36=0," ",IF(ISBLANK(INDEX(Initial_Component_aggregator!H:H,MATCH(F36,Initial_Component_aggregator!B:B))),D36,INDEX(Initial_Component_aggregator!I:I,MATCH(J36,Initial_Component_aggregator!H:H))))</f>
        <v xml:space="preserve"> </v>
      </c>
      <c r="L36" t="str" cm="1">
        <f t="array" ref="L36">IF(F36=0," ",IF(ISBLANK(INDEX(Initial_Component_aggregator!H:H,MATCH(F36,Initial_Component_aggregator!B:B))),E36,INDEX(Initial_Component_aggregator!J:J,MATCH(J36,Initial_Component_aggregator!H:H))))</f>
        <v xml:space="preserve"> </v>
      </c>
      <c r="M36" t="str" cm="1">
        <f t="array" ref="M36">IF(F36=0," ",IF(ISBLANK(INDEX(Initial_Component_aggregator!H:H,MATCH(F36,Initial_Component_aggregator!B:B))),F36,INDEX(Initial_Component_aggregator!K:K,MATCH(J36,Initial_Component_aggregator!H:H))))</f>
        <v xml:space="preserve"> </v>
      </c>
    </row>
    <row r="37" spans="1:13" ht="36" customHeight="1">
      <c r="A37"/>
      <c r="B37"/>
      <c r="C37"/>
      <c r="D37"/>
      <c r="E37"/>
      <c r="F37"/>
      <c r="G37"/>
      <c r="H37" t="str">
        <f t="shared" si="0"/>
        <v xml:space="preserve"> </v>
      </c>
      <c r="I37" t="str" cm="1">
        <f t="array" ref="I37">IF(F37=0," ",IF(ISBLANK(INDEX(Initial_Component_aggregator!F:F,MATCH(F37,Initial_Component_aggregator!B:B,0))),"No change",INDEX(Initial_Component_aggregator!F:F,MATCH(F37,Initial_Component_aggregator!B:B,0))))</f>
        <v xml:space="preserve"> </v>
      </c>
      <c r="J37" t="str" cm="1">
        <f t="array" ref="J37">IF(F37=0," ",IF(ISBLANK(INDEX(Initial_Component_aggregator!H:H,MATCH(F37,Initial_Component_aggregator!B:B,0))),F37,INDEX(Initial_Component_aggregator!H:H,MATCH(F37,Initial_Component_aggregator!B:B,0))))</f>
        <v xml:space="preserve"> </v>
      </c>
      <c r="K37" t="str" cm="1">
        <f t="array" ref="K37">IF(F37=0," ",IF(ISBLANK(INDEX(Initial_Component_aggregator!H:H,MATCH(F37,Initial_Component_aggregator!B:B))),D37,INDEX(Initial_Component_aggregator!I:I,MATCH(J37,Initial_Component_aggregator!H:H))))</f>
        <v xml:space="preserve"> </v>
      </c>
      <c r="L37" t="str" cm="1">
        <f t="array" ref="L37">IF(F37=0," ",IF(ISBLANK(INDEX(Initial_Component_aggregator!H:H,MATCH(F37,Initial_Component_aggregator!B:B))),E37,INDEX(Initial_Component_aggregator!J:J,MATCH(J37,Initial_Component_aggregator!H:H))))</f>
        <v xml:space="preserve"> </v>
      </c>
      <c r="M37" t="str" cm="1">
        <f t="array" ref="M37">IF(F37=0," ",IF(ISBLANK(INDEX(Initial_Component_aggregator!H:H,MATCH(F37,Initial_Component_aggregator!B:B))),F37,INDEX(Initial_Component_aggregator!K:K,MATCH(J37,Initial_Component_aggregator!H:H))))</f>
        <v xml:space="preserve"> </v>
      </c>
    </row>
    <row r="38" spans="1:13" ht="36" customHeight="1">
      <c r="A38"/>
      <c r="B38"/>
      <c r="C38"/>
      <c r="D38"/>
      <c r="E38"/>
      <c r="F38"/>
      <c r="G38"/>
      <c r="H38" t="str">
        <f t="shared" si="0"/>
        <v xml:space="preserve"> </v>
      </c>
      <c r="I38" t="str" cm="1">
        <f t="array" ref="I38">IF(F38=0," ",IF(ISBLANK(INDEX(Initial_Component_aggregator!F:F,MATCH(F38,Initial_Component_aggregator!B:B,0))),"No change",INDEX(Initial_Component_aggregator!F:F,MATCH(F38,Initial_Component_aggregator!B:B,0))))</f>
        <v xml:space="preserve"> </v>
      </c>
      <c r="J38" t="str" cm="1">
        <f t="array" ref="J38">IF(F38=0," ",IF(ISBLANK(INDEX(Initial_Component_aggregator!H:H,MATCH(F38,Initial_Component_aggregator!B:B,0))),F38,INDEX(Initial_Component_aggregator!H:H,MATCH(F38,Initial_Component_aggregator!B:B,0))))</f>
        <v xml:space="preserve"> </v>
      </c>
      <c r="K38" t="str" cm="1">
        <f t="array" ref="K38">IF(F38=0," ",IF(ISBLANK(INDEX(Initial_Component_aggregator!H:H,MATCH(F38,Initial_Component_aggregator!B:B))),D38,INDEX(Initial_Component_aggregator!I:I,MATCH(J38,Initial_Component_aggregator!H:H))))</f>
        <v xml:space="preserve"> </v>
      </c>
      <c r="L38" t="str" cm="1">
        <f t="array" ref="L38">IF(F38=0," ",IF(ISBLANK(INDEX(Initial_Component_aggregator!H:H,MATCH(F38,Initial_Component_aggregator!B:B))),E38,INDEX(Initial_Component_aggregator!J:J,MATCH(J38,Initial_Component_aggregator!H:H))))</f>
        <v xml:space="preserve"> </v>
      </c>
      <c r="M38" t="str" cm="1">
        <f t="array" ref="M38">IF(F38=0," ",IF(ISBLANK(INDEX(Initial_Component_aggregator!H:H,MATCH(F38,Initial_Component_aggregator!B:B))),F38,INDEX(Initial_Component_aggregator!K:K,MATCH(J38,Initial_Component_aggregator!H:H))))</f>
        <v xml:space="preserve"> </v>
      </c>
    </row>
    <row r="39" spans="1:13" ht="36" customHeight="1">
      <c r="A39"/>
      <c r="B39"/>
      <c r="C39"/>
      <c r="D39"/>
      <c r="E39"/>
      <c r="F39"/>
      <c r="G39"/>
      <c r="H39" t="str">
        <f t="shared" si="0"/>
        <v xml:space="preserve"> </v>
      </c>
      <c r="I39" t="str" cm="1">
        <f t="array" ref="I39">IF(F39=0," ",IF(ISBLANK(INDEX(Initial_Component_aggregator!F:F,MATCH(F39,Initial_Component_aggregator!B:B,0))),"No change",INDEX(Initial_Component_aggregator!F:F,MATCH(F39,Initial_Component_aggregator!B:B,0))))</f>
        <v xml:space="preserve"> </v>
      </c>
      <c r="J39" t="str" cm="1">
        <f t="array" ref="J39">IF(F39=0," ",IF(ISBLANK(INDEX(Initial_Component_aggregator!H:H,MATCH(F39,Initial_Component_aggregator!B:B,0))),F39,INDEX(Initial_Component_aggregator!H:H,MATCH(F39,Initial_Component_aggregator!B:B,0))))</f>
        <v xml:space="preserve"> </v>
      </c>
      <c r="K39" t="str" cm="1">
        <f t="array" ref="K39">IF(F39=0," ",IF(ISBLANK(INDEX(Initial_Component_aggregator!H:H,MATCH(F39,Initial_Component_aggregator!B:B))),D39,INDEX(Initial_Component_aggregator!I:I,MATCH(J39,Initial_Component_aggregator!H:H))))</f>
        <v xml:space="preserve"> </v>
      </c>
      <c r="L39" t="str" cm="1">
        <f t="array" ref="L39">IF(F39=0," ",IF(ISBLANK(INDEX(Initial_Component_aggregator!H:H,MATCH(F39,Initial_Component_aggregator!B:B))),E39,INDEX(Initial_Component_aggregator!J:J,MATCH(J39,Initial_Component_aggregator!H:H))))</f>
        <v xml:space="preserve"> </v>
      </c>
      <c r="M39" t="str" cm="1">
        <f t="array" ref="M39">IF(F39=0," ",IF(ISBLANK(INDEX(Initial_Component_aggregator!H:H,MATCH(F39,Initial_Component_aggregator!B:B))),F39,INDEX(Initial_Component_aggregator!K:K,MATCH(J39,Initial_Component_aggregator!H:H))))</f>
        <v xml:space="preserve"> </v>
      </c>
    </row>
    <row r="40" spans="1:13" ht="36" customHeight="1">
      <c r="A40"/>
      <c r="B40"/>
      <c r="C40"/>
      <c r="D40"/>
      <c r="E40"/>
      <c r="F40"/>
      <c r="G40"/>
      <c r="H40" t="str">
        <f t="shared" si="0"/>
        <v xml:space="preserve"> </v>
      </c>
      <c r="I40" t="str" cm="1">
        <f t="array" ref="I40">IF(F40=0," ",IF(ISBLANK(INDEX(Initial_Component_aggregator!F:F,MATCH(F40,Initial_Component_aggregator!B:B,0))),"No change",INDEX(Initial_Component_aggregator!F:F,MATCH(F40,Initial_Component_aggregator!B:B,0))))</f>
        <v xml:space="preserve"> </v>
      </c>
      <c r="J40" t="str" cm="1">
        <f t="array" ref="J40">IF(F40=0," ",IF(ISBLANK(INDEX(Initial_Component_aggregator!H:H,MATCH(F40,Initial_Component_aggregator!B:B,0))),F40,INDEX(Initial_Component_aggregator!H:H,MATCH(F40,Initial_Component_aggregator!B:B,0))))</f>
        <v xml:space="preserve"> </v>
      </c>
      <c r="K40" t="str" cm="1">
        <f t="array" ref="K40">IF(F40=0," ",IF(ISBLANK(INDEX(Initial_Component_aggregator!H:H,MATCH(F40,Initial_Component_aggregator!B:B))),D40,INDEX(Initial_Component_aggregator!I:I,MATCH(J40,Initial_Component_aggregator!H:H))))</f>
        <v xml:space="preserve"> </v>
      </c>
      <c r="L40" t="str" cm="1">
        <f t="array" ref="L40">IF(F40=0," ",IF(ISBLANK(INDEX(Initial_Component_aggregator!H:H,MATCH(F40,Initial_Component_aggregator!B:B))),E40,INDEX(Initial_Component_aggregator!J:J,MATCH(J40,Initial_Component_aggregator!H:H))))</f>
        <v xml:space="preserve"> </v>
      </c>
      <c r="M40" t="str" cm="1">
        <f t="array" ref="M40">IF(F40=0," ",IF(ISBLANK(INDEX(Initial_Component_aggregator!H:H,MATCH(F40,Initial_Component_aggregator!B:B))),F40,INDEX(Initial_Component_aggregator!K:K,MATCH(J40,Initial_Component_aggregator!H:H))))</f>
        <v xml:space="preserve"> </v>
      </c>
    </row>
    <row r="41" spans="1:13" ht="36" customHeight="1">
      <c r="A41"/>
      <c r="B41"/>
      <c r="C41"/>
      <c r="D41"/>
      <c r="E41"/>
      <c r="F41"/>
      <c r="G41"/>
      <c r="H41" t="str">
        <f t="shared" si="0"/>
        <v xml:space="preserve"> </v>
      </c>
      <c r="I41" t="str" cm="1">
        <f t="array" ref="I41">IF(F41=0," ",IF(ISBLANK(INDEX(Initial_Component_aggregator!F:F,MATCH(F41,Initial_Component_aggregator!B:B,0))),"No change",INDEX(Initial_Component_aggregator!F:F,MATCH(F41,Initial_Component_aggregator!B:B,0))))</f>
        <v xml:space="preserve"> </v>
      </c>
      <c r="J41" t="str" cm="1">
        <f t="array" ref="J41">IF(F41=0," ",IF(ISBLANK(INDEX(Initial_Component_aggregator!H:H,MATCH(F41,Initial_Component_aggregator!B:B,0))),F41,INDEX(Initial_Component_aggregator!H:H,MATCH(F41,Initial_Component_aggregator!B:B,0))))</f>
        <v xml:space="preserve"> </v>
      </c>
      <c r="K41" t="str" cm="1">
        <f t="array" ref="K41">IF(F41=0," ",IF(ISBLANK(INDEX(Initial_Component_aggregator!H:H,MATCH(F41,Initial_Component_aggregator!B:B))),D41,INDEX(Initial_Component_aggregator!I:I,MATCH(J41,Initial_Component_aggregator!H:H))))</f>
        <v xml:space="preserve"> </v>
      </c>
      <c r="L41" t="str" cm="1">
        <f t="array" ref="L41">IF(F41=0," ",IF(ISBLANK(INDEX(Initial_Component_aggregator!H:H,MATCH(F41,Initial_Component_aggregator!B:B))),E41,INDEX(Initial_Component_aggregator!J:J,MATCH(J41,Initial_Component_aggregator!H:H))))</f>
        <v xml:space="preserve"> </v>
      </c>
      <c r="M41" t="str" cm="1">
        <f t="array" ref="M41">IF(F41=0," ",IF(ISBLANK(INDEX(Initial_Component_aggregator!H:H,MATCH(F41,Initial_Component_aggregator!B:B))),F41,INDEX(Initial_Component_aggregator!K:K,MATCH(J41,Initial_Component_aggregator!H:H))))</f>
        <v xml:space="preserve"> </v>
      </c>
    </row>
    <row r="42" spans="1:13" ht="36" customHeight="1">
      <c r="A42"/>
      <c r="B42"/>
      <c r="C42"/>
      <c r="D42"/>
      <c r="E42"/>
      <c r="F42"/>
      <c r="G42"/>
      <c r="H42" t="str">
        <f t="shared" si="0"/>
        <v xml:space="preserve"> </v>
      </c>
      <c r="I42" t="str" cm="1">
        <f t="array" ref="I42">IF(F42=0," ",IF(ISBLANK(INDEX(Initial_Component_aggregator!F:F,MATCH(F42,Initial_Component_aggregator!B:B,0))),"No change",INDEX(Initial_Component_aggregator!F:F,MATCH(F42,Initial_Component_aggregator!B:B,0))))</f>
        <v xml:space="preserve"> </v>
      </c>
      <c r="J42" t="str" cm="1">
        <f t="array" ref="J42">IF(F42=0," ",IF(ISBLANK(INDEX(Initial_Component_aggregator!H:H,MATCH(F42,Initial_Component_aggregator!B:B,0))),F42,INDEX(Initial_Component_aggregator!H:H,MATCH(F42,Initial_Component_aggregator!B:B,0))))</f>
        <v xml:space="preserve"> </v>
      </c>
      <c r="K42" t="str" cm="1">
        <f t="array" ref="K42">IF(F42=0," ",IF(ISBLANK(INDEX(Initial_Component_aggregator!H:H,MATCH(F42,Initial_Component_aggregator!B:B))),D42,INDEX(Initial_Component_aggregator!I:I,MATCH(J42,Initial_Component_aggregator!H:H))))</f>
        <v xml:space="preserve"> </v>
      </c>
      <c r="L42" t="str" cm="1">
        <f t="array" ref="L42">IF(F42=0," ",IF(ISBLANK(INDEX(Initial_Component_aggregator!H:H,MATCH(F42,Initial_Component_aggregator!B:B))),E42,INDEX(Initial_Component_aggregator!J:J,MATCH(J42,Initial_Component_aggregator!H:H))))</f>
        <v xml:space="preserve"> </v>
      </c>
      <c r="M42" t="str" cm="1">
        <f t="array" ref="M42">IF(F42=0," ",IF(ISBLANK(INDEX(Initial_Component_aggregator!H:H,MATCH(F42,Initial_Component_aggregator!B:B))),F42,INDEX(Initial_Component_aggregator!K:K,MATCH(J42,Initial_Component_aggregator!H:H))))</f>
        <v xml:space="preserve"> </v>
      </c>
    </row>
    <row r="43" spans="1:13" ht="36" customHeight="1">
      <c r="A43"/>
      <c r="B43"/>
      <c r="C43"/>
      <c r="D43"/>
      <c r="E43"/>
      <c r="F43"/>
      <c r="G43"/>
      <c r="H43" t="str">
        <f t="shared" si="0"/>
        <v xml:space="preserve"> </v>
      </c>
      <c r="I43" t="str" cm="1">
        <f t="array" ref="I43">IF(F43=0," ",IF(ISBLANK(INDEX(Initial_Component_aggregator!F:F,MATCH(F43,Initial_Component_aggregator!B:B,0))),"No change",INDEX(Initial_Component_aggregator!F:F,MATCH(F43,Initial_Component_aggregator!B:B,0))))</f>
        <v xml:space="preserve"> </v>
      </c>
      <c r="J43" t="str" cm="1">
        <f t="array" ref="J43">IF(F43=0," ",IF(ISBLANK(INDEX(Initial_Component_aggregator!H:H,MATCH(F43,Initial_Component_aggregator!B:B,0))),F43,INDEX(Initial_Component_aggregator!H:H,MATCH(F43,Initial_Component_aggregator!B:B,0))))</f>
        <v xml:space="preserve"> </v>
      </c>
      <c r="K43" t="str" cm="1">
        <f t="array" ref="K43">IF(F43=0," ",IF(ISBLANK(INDEX(Initial_Component_aggregator!H:H,MATCH(F43,Initial_Component_aggregator!B:B))),D43,INDEX(Initial_Component_aggregator!I:I,MATCH(J43,Initial_Component_aggregator!H:H))))</f>
        <v xml:space="preserve"> </v>
      </c>
      <c r="L43" t="str" cm="1">
        <f t="array" ref="L43">IF(F43=0," ",IF(ISBLANK(INDEX(Initial_Component_aggregator!H:H,MATCH(F43,Initial_Component_aggregator!B:B))),E43,INDEX(Initial_Component_aggregator!J:J,MATCH(J43,Initial_Component_aggregator!H:H))))</f>
        <v xml:space="preserve"> </v>
      </c>
      <c r="M43" t="str" cm="1">
        <f t="array" ref="M43">IF(F43=0," ",IF(ISBLANK(INDEX(Initial_Component_aggregator!H:H,MATCH(F43,Initial_Component_aggregator!B:B))),F43,INDEX(Initial_Component_aggregator!K:K,MATCH(J43,Initial_Component_aggregator!H:H))))</f>
        <v xml:space="preserve"> </v>
      </c>
    </row>
    <row r="44" spans="1:13" ht="36" customHeight="1">
      <c r="A44"/>
      <c r="B44"/>
      <c r="C44"/>
      <c r="D44"/>
      <c r="E44"/>
      <c r="F44"/>
      <c r="G44"/>
      <c r="H44" t="str">
        <f t="shared" si="0"/>
        <v xml:space="preserve"> </v>
      </c>
      <c r="I44" t="str" cm="1">
        <f t="array" ref="I44">IF(F44=0," ",IF(ISBLANK(INDEX(Initial_Component_aggregator!F:F,MATCH(F44,Initial_Component_aggregator!B:B,0))),"No change",INDEX(Initial_Component_aggregator!F:F,MATCH(F44,Initial_Component_aggregator!B:B,0))))</f>
        <v xml:space="preserve"> </v>
      </c>
      <c r="J44" t="str" cm="1">
        <f t="array" ref="J44">IF(F44=0," ",IF(ISBLANK(INDEX(Initial_Component_aggregator!H:H,MATCH(F44,Initial_Component_aggregator!B:B,0))),F44,INDEX(Initial_Component_aggregator!H:H,MATCH(F44,Initial_Component_aggregator!B:B,0))))</f>
        <v xml:space="preserve"> </v>
      </c>
      <c r="K44" t="str" cm="1">
        <f t="array" ref="K44">IF(F44=0," ",IF(ISBLANK(INDEX(Initial_Component_aggregator!H:H,MATCH(F44,Initial_Component_aggregator!B:B))),D44,INDEX(Initial_Component_aggregator!I:I,MATCH(J44,Initial_Component_aggregator!H:H))))</f>
        <v xml:space="preserve"> </v>
      </c>
      <c r="L44" t="str" cm="1">
        <f t="array" ref="L44">IF(F44=0," ",IF(ISBLANK(INDEX(Initial_Component_aggregator!H:H,MATCH(F44,Initial_Component_aggregator!B:B))),E44,INDEX(Initial_Component_aggregator!J:J,MATCH(J44,Initial_Component_aggregator!H:H))))</f>
        <v xml:space="preserve"> </v>
      </c>
      <c r="M44" t="str" cm="1">
        <f t="array" ref="M44">IF(F44=0," ",IF(ISBLANK(INDEX(Initial_Component_aggregator!H:H,MATCH(F44,Initial_Component_aggregator!B:B))),F44,INDEX(Initial_Component_aggregator!K:K,MATCH(J44,Initial_Component_aggregator!H:H))))</f>
        <v xml:space="preserve"> </v>
      </c>
    </row>
    <row r="45" spans="1:13" ht="36" customHeight="1">
      <c r="A45"/>
      <c r="B45"/>
      <c r="C45"/>
      <c r="D45"/>
      <c r="E45"/>
      <c r="F45"/>
      <c r="G45"/>
      <c r="H45" t="str">
        <f t="shared" si="0"/>
        <v xml:space="preserve"> </v>
      </c>
      <c r="I45" t="str" cm="1">
        <f t="array" ref="I45">IF(F45=0," ",IF(ISBLANK(INDEX(Initial_Component_aggregator!F:F,MATCH(F45,Initial_Component_aggregator!B:B,0))),"No change",INDEX(Initial_Component_aggregator!F:F,MATCH(F45,Initial_Component_aggregator!B:B,0))))</f>
        <v xml:space="preserve"> </v>
      </c>
      <c r="J45" t="str" cm="1">
        <f t="array" ref="J45">IF(F45=0," ",IF(ISBLANK(INDEX(Initial_Component_aggregator!H:H,MATCH(F45,Initial_Component_aggregator!B:B,0))),F45,INDEX(Initial_Component_aggregator!H:H,MATCH(F45,Initial_Component_aggregator!B:B,0))))</f>
        <v xml:space="preserve"> </v>
      </c>
      <c r="K45" t="str" cm="1">
        <f t="array" ref="K45">IF(F45=0," ",IF(ISBLANK(INDEX(Initial_Component_aggregator!H:H,MATCH(F45,Initial_Component_aggregator!B:B))),D45,INDEX(Initial_Component_aggregator!I:I,MATCH(J45,Initial_Component_aggregator!H:H))))</f>
        <v xml:space="preserve"> </v>
      </c>
      <c r="L45" t="str" cm="1">
        <f t="array" ref="L45">IF(F45=0," ",IF(ISBLANK(INDEX(Initial_Component_aggregator!H:H,MATCH(F45,Initial_Component_aggregator!B:B))),E45,INDEX(Initial_Component_aggregator!J:J,MATCH(J45,Initial_Component_aggregator!H:H))))</f>
        <v xml:space="preserve"> </v>
      </c>
      <c r="M45" t="str" cm="1">
        <f t="array" ref="M45">IF(F45=0," ",IF(ISBLANK(INDEX(Initial_Component_aggregator!H:H,MATCH(F45,Initial_Component_aggregator!B:B))),F45,INDEX(Initial_Component_aggregator!K:K,MATCH(J45,Initial_Component_aggregator!H:H))))</f>
        <v xml:space="preserve"> </v>
      </c>
    </row>
    <row r="46" spans="1:13" ht="36" customHeight="1">
      <c r="A46"/>
      <c r="B46"/>
      <c r="C46"/>
      <c r="D46"/>
      <c r="E46"/>
      <c r="F46"/>
      <c r="G46"/>
      <c r="H46" t="str">
        <f t="shared" si="0"/>
        <v xml:space="preserve"> </v>
      </c>
      <c r="I46" t="str" cm="1">
        <f t="array" ref="I46">IF(F46=0," ",IF(ISBLANK(INDEX(Initial_Component_aggregator!F:F,MATCH(F46,Initial_Component_aggregator!B:B,0))),"No change",INDEX(Initial_Component_aggregator!F:F,MATCH(F46,Initial_Component_aggregator!B:B,0))))</f>
        <v xml:space="preserve"> </v>
      </c>
      <c r="J46" t="str" cm="1">
        <f t="array" ref="J46">IF(F46=0," ",IF(ISBLANK(INDEX(Initial_Component_aggregator!H:H,MATCH(F46,Initial_Component_aggregator!B:B,0))),F46,INDEX(Initial_Component_aggregator!H:H,MATCH(F46,Initial_Component_aggregator!B:B,0))))</f>
        <v xml:space="preserve"> </v>
      </c>
      <c r="K46" t="str" cm="1">
        <f t="array" ref="K46">IF(F46=0," ",IF(ISBLANK(INDEX(Initial_Component_aggregator!H:H,MATCH(F46,Initial_Component_aggregator!B:B))),D46,INDEX(Initial_Component_aggregator!I:I,MATCH(J46,Initial_Component_aggregator!H:H))))</f>
        <v xml:space="preserve"> </v>
      </c>
      <c r="L46" t="str" cm="1">
        <f t="array" ref="L46">IF(F46=0," ",IF(ISBLANK(INDEX(Initial_Component_aggregator!H:H,MATCH(F46,Initial_Component_aggregator!B:B))),E46,INDEX(Initial_Component_aggregator!J:J,MATCH(J46,Initial_Component_aggregator!H:H))))</f>
        <v xml:space="preserve"> </v>
      </c>
      <c r="M46" t="str" cm="1">
        <f t="array" ref="M46">IF(F46=0," ",IF(ISBLANK(INDEX(Initial_Component_aggregator!H:H,MATCH(F46,Initial_Component_aggregator!B:B))),F46,INDEX(Initial_Component_aggregator!K:K,MATCH(J46,Initial_Component_aggregator!H:H))))</f>
        <v xml:space="preserve"> </v>
      </c>
    </row>
    <row r="47" spans="1:13" ht="36" customHeight="1">
      <c r="A47"/>
      <c r="B47"/>
      <c r="C47"/>
      <c r="D47"/>
      <c r="E47"/>
      <c r="F47"/>
      <c r="G47"/>
      <c r="H47" t="str">
        <f t="shared" si="0"/>
        <v xml:space="preserve"> </v>
      </c>
      <c r="I47" t="str" cm="1">
        <f t="array" ref="I47">IF(F47=0," ",IF(ISBLANK(INDEX(Initial_Component_aggregator!F:F,MATCH(F47,Initial_Component_aggregator!B:B,0))),"No change",INDEX(Initial_Component_aggregator!F:F,MATCH(F47,Initial_Component_aggregator!B:B,0))))</f>
        <v xml:space="preserve"> </v>
      </c>
      <c r="J47" t="str" cm="1">
        <f t="array" ref="J47">IF(F47=0," ",IF(ISBLANK(INDEX(Initial_Component_aggregator!H:H,MATCH(F47,Initial_Component_aggregator!B:B,0))),F47,INDEX(Initial_Component_aggregator!H:H,MATCH(F47,Initial_Component_aggregator!B:B,0))))</f>
        <v xml:space="preserve"> </v>
      </c>
      <c r="K47" t="str" cm="1">
        <f t="array" ref="K47">IF(F47=0," ",IF(ISBLANK(INDEX(Initial_Component_aggregator!H:H,MATCH(F47,Initial_Component_aggregator!B:B))),D47,INDEX(Initial_Component_aggregator!I:I,MATCH(J47,Initial_Component_aggregator!H:H))))</f>
        <v xml:space="preserve"> </v>
      </c>
      <c r="L47" t="str" cm="1">
        <f t="array" ref="L47">IF(F47=0," ",IF(ISBLANK(INDEX(Initial_Component_aggregator!H:H,MATCH(F47,Initial_Component_aggregator!B:B))),E47,INDEX(Initial_Component_aggregator!J:J,MATCH(J47,Initial_Component_aggregator!H:H))))</f>
        <v xml:space="preserve"> </v>
      </c>
      <c r="M47" t="str" cm="1">
        <f t="array" ref="M47">IF(F47=0," ",IF(ISBLANK(INDEX(Initial_Component_aggregator!H:H,MATCH(F47,Initial_Component_aggregator!B:B))),F47,INDEX(Initial_Component_aggregator!K:K,MATCH(J47,Initial_Component_aggregator!H:H))))</f>
        <v xml:space="preserve"> </v>
      </c>
    </row>
    <row r="48" spans="1:13" ht="36" customHeight="1">
      <c r="A48"/>
      <c r="B48"/>
      <c r="C48"/>
      <c r="D48"/>
      <c r="E48"/>
      <c r="F48"/>
      <c r="G48"/>
      <c r="H48" t="str">
        <f t="shared" si="0"/>
        <v xml:space="preserve"> </v>
      </c>
      <c r="I48" t="str" cm="1">
        <f t="array" ref="I48">IF(F48=0," ",IF(ISBLANK(INDEX(Initial_Component_aggregator!F:F,MATCH(F48,Initial_Component_aggregator!B:B,0))),"No change",INDEX(Initial_Component_aggregator!F:F,MATCH(F48,Initial_Component_aggregator!B:B,0))))</f>
        <v xml:space="preserve"> </v>
      </c>
      <c r="J48" t="str" cm="1">
        <f t="array" ref="J48">IF(F48=0," ",IF(ISBLANK(INDEX(Initial_Component_aggregator!H:H,MATCH(F48,Initial_Component_aggregator!B:B,0))),F48,INDEX(Initial_Component_aggregator!H:H,MATCH(F48,Initial_Component_aggregator!B:B,0))))</f>
        <v xml:space="preserve"> </v>
      </c>
      <c r="K48" t="str" cm="1">
        <f t="array" ref="K48">IF(F48=0," ",IF(ISBLANK(INDEX(Initial_Component_aggregator!H:H,MATCH(F48,Initial_Component_aggregator!B:B))),D48,INDEX(Initial_Component_aggregator!I:I,MATCH(J48,Initial_Component_aggregator!H:H))))</f>
        <v xml:space="preserve"> </v>
      </c>
      <c r="L48" t="str" cm="1">
        <f t="array" ref="L48">IF(F48=0," ",IF(ISBLANK(INDEX(Initial_Component_aggregator!H:H,MATCH(F48,Initial_Component_aggregator!B:B))),E48,INDEX(Initial_Component_aggregator!J:J,MATCH(J48,Initial_Component_aggregator!H:H))))</f>
        <v xml:space="preserve"> </v>
      </c>
      <c r="M48" t="str" cm="1">
        <f t="array" ref="M48">IF(F48=0," ",IF(ISBLANK(INDEX(Initial_Component_aggregator!H:H,MATCH(F48,Initial_Component_aggregator!B:B))),F48,INDEX(Initial_Component_aggregator!K:K,MATCH(J48,Initial_Component_aggregator!H:H))))</f>
        <v xml:space="preserve"> </v>
      </c>
    </row>
    <row r="49" spans="1:13" ht="36" customHeight="1">
      <c r="A49"/>
      <c r="B49"/>
      <c r="C49"/>
      <c r="D49"/>
      <c r="E49"/>
      <c r="F49"/>
      <c r="G49"/>
      <c r="H49" t="str">
        <f t="shared" si="0"/>
        <v xml:space="preserve"> </v>
      </c>
      <c r="I49" t="str" cm="1">
        <f t="array" ref="I49">IF(F49=0," ",IF(ISBLANK(INDEX(Initial_Component_aggregator!F:F,MATCH(F49,Initial_Component_aggregator!B:B,0))),"No change",INDEX(Initial_Component_aggregator!F:F,MATCH(F49,Initial_Component_aggregator!B:B,0))))</f>
        <v xml:space="preserve"> </v>
      </c>
      <c r="J49" t="str" cm="1">
        <f t="array" ref="J49">IF(F49=0," ",IF(ISBLANK(INDEX(Initial_Component_aggregator!H:H,MATCH(F49,Initial_Component_aggregator!B:B,0))),F49,INDEX(Initial_Component_aggregator!H:H,MATCH(F49,Initial_Component_aggregator!B:B,0))))</f>
        <v xml:space="preserve"> </v>
      </c>
      <c r="K49" t="str" cm="1">
        <f t="array" ref="K49">IF(F49=0," ",IF(ISBLANK(INDEX(Initial_Component_aggregator!H:H,MATCH(F49,Initial_Component_aggregator!B:B))),D49,INDEX(Initial_Component_aggregator!I:I,MATCH(J49,Initial_Component_aggregator!H:H))))</f>
        <v xml:space="preserve"> </v>
      </c>
      <c r="L49" t="str" cm="1">
        <f t="array" ref="L49">IF(F49=0," ",IF(ISBLANK(INDEX(Initial_Component_aggregator!H:H,MATCH(F49,Initial_Component_aggregator!B:B))),E49,INDEX(Initial_Component_aggregator!J:J,MATCH(J49,Initial_Component_aggregator!H:H))))</f>
        <v xml:space="preserve"> </v>
      </c>
      <c r="M49" t="str" cm="1">
        <f t="array" ref="M49">IF(F49=0," ",IF(ISBLANK(INDEX(Initial_Component_aggregator!H:H,MATCH(F49,Initial_Component_aggregator!B:B))),F49,INDEX(Initial_Component_aggregator!K:K,MATCH(J49,Initial_Component_aggregator!H:H))))</f>
        <v xml:space="preserve"> </v>
      </c>
    </row>
    <row r="50" spans="1:13" ht="36" customHeight="1">
      <c r="A50"/>
      <c r="B50"/>
      <c r="C50"/>
      <c r="D50"/>
      <c r="E50"/>
      <c r="F50"/>
      <c r="G50"/>
      <c r="H50" t="str">
        <f t="shared" si="0"/>
        <v xml:space="preserve"> </v>
      </c>
      <c r="I50" t="str" cm="1">
        <f t="array" ref="I50">IF(F50=0," ",IF(ISBLANK(INDEX(Initial_Component_aggregator!F:F,MATCH(F50,Initial_Component_aggregator!B:B,0))),"No change",INDEX(Initial_Component_aggregator!F:F,MATCH(F50,Initial_Component_aggregator!B:B,0))))</f>
        <v xml:space="preserve"> </v>
      </c>
      <c r="J50" t="str" cm="1">
        <f t="array" ref="J50">IF(F50=0," ",IF(ISBLANK(INDEX(Initial_Component_aggregator!H:H,MATCH(F50,Initial_Component_aggregator!B:B,0))),F50,INDEX(Initial_Component_aggregator!H:H,MATCH(F50,Initial_Component_aggregator!B:B,0))))</f>
        <v xml:space="preserve"> </v>
      </c>
      <c r="K50" t="str" cm="1">
        <f t="array" ref="K50">IF(F50=0," ",IF(ISBLANK(INDEX(Initial_Component_aggregator!H:H,MATCH(F50,Initial_Component_aggregator!B:B))),D50,INDEX(Initial_Component_aggregator!I:I,MATCH(J50,Initial_Component_aggregator!H:H))))</f>
        <v xml:space="preserve"> </v>
      </c>
      <c r="L50" t="str" cm="1">
        <f t="array" ref="L50">IF(F50=0," ",IF(ISBLANK(INDEX(Initial_Component_aggregator!H:H,MATCH(F50,Initial_Component_aggregator!B:B))),E50,INDEX(Initial_Component_aggregator!J:J,MATCH(J50,Initial_Component_aggregator!H:H))))</f>
        <v xml:space="preserve"> </v>
      </c>
      <c r="M50" t="str" cm="1">
        <f t="array" ref="M50">IF(F50=0," ",IF(ISBLANK(INDEX(Initial_Component_aggregator!H:H,MATCH(F50,Initial_Component_aggregator!B:B))),F50,INDEX(Initial_Component_aggregator!K:K,MATCH(J50,Initial_Component_aggregator!H:H))))</f>
        <v xml:space="preserve"> </v>
      </c>
    </row>
    <row r="51" spans="1:13" ht="36" customHeight="1">
      <c r="A51"/>
      <c r="B51"/>
      <c r="C51"/>
      <c r="D51"/>
      <c r="E51"/>
      <c r="F51"/>
      <c r="G51"/>
      <c r="H51" t="str">
        <f t="shared" si="0"/>
        <v xml:space="preserve"> </v>
      </c>
      <c r="I51" t="str" cm="1">
        <f t="array" ref="I51">IF(F51=0," ",IF(ISBLANK(INDEX(Initial_Component_aggregator!F:F,MATCH(F51,Initial_Component_aggregator!B:B,0))),"No change",INDEX(Initial_Component_aggregator!F:F,MATCH(F51,Initial_Component_aggregator!B:B,0))))</f>
        <v xml:space="preserve"> </v>
      </c>
      <c r="J51" t="str" cm="1">
        <f t="array" ref="J51">IF(F51=0," ",IF(ISBLANK(INDEX(Initial_Component_aggregator!H:H,MATCH(F51,Initial_Component_aggregator!B:B,0))),F51,INDEX(Initial_Component_aggregator!H:H,MATCH(F51,Initial_Component_aggregator!B:B,0))))</f>
        <v xml:space="preserve"> </v>
      </c>
      <c r="K51" t="str" cm="1">
        <f t="array" ref="K51">IF(F51=0," ",IF(ISBLANK(INDEX(Initial_Component_aggregator!H:H,MATCH(F51,Initial_Component_aggregator!B:B))),D51,INDEX(Initial_Component_aggregator!I:I,MATCH(J51,Initial_Component_aggregator!H:H))))</f>
        <v xml:space="preserve"> </v>
      </c>
      <c r="L51" t="str" cm="1">
        <f t="array" ref="L51">IF(F51=0," ",IF(ISBLANK(INDEX(Initial_Component_aggregator!H:H,MATCH(F51,Initial_Component_aggregator!B:B))),E51,INDEX(Initial_Component_aggregator!J:J,MATCH(J51,Initial_Component_aggregator!H:H))))</f>
        <v xml:space="preserve"> </v>
      </c>
      <c r="M51" t="str" cm="1">
        <f t="array" ref="M51">IF(F51=0," ",IF(ISBLANK(INDEX(Initial_Component_aggregator!H:H,MATCH(F51,Initial_Component_aggregator!B:B))),F51,INDEX(Initial_Component_aggregator!K:K,MATCH(J51,Initial_Component_aggregator!H:H))))</f>
        <v xml:space="preserve"> </v>
      </c>
    </row>
    <row r="52" spans="1:13" ht="36" customHeight="1">
      <c r="A52"/>
      <c r="B52"/>
      <c r="C52"/>
      <c r="D52"/>
      <c r="E52"/>
      <c r="F52"/>
      <c r="G52"/>
      <c r="H52" t="str">
        <f t="shared" si="0"/>
        <v xml:space="preserve"> </v>
      </c>
      <c r="I52" t="str" cm="1">
        <f t="array" ref="I52">IF(F52=0," ",IF(ISBLANK(INDEX(Initial_Component_aggregator!F:F,MATCH(F52,Initial_Component_aggregator!B:B,0))),"No change",INDEX(Initial_Component_aggregator!F:F,MATCH(F52,Initial_Component_aggregator!B:B,0))))</f>
        <v xml:space="preserve"> </v>
      </c>
      <c r="J52" t="str" cm="1">
        <f t="array" ref="J52">IF(F52=0," ",IF(ISBLANK(INDEX(Initial_Component_aggregator!H:H,MATCH(F52,Initial_Component_aggregator!B:B,0))),F52,INDEX(Initial_Component_aggregator!H:H,MATCH(F52,Initial_Component_aggregator!B:B,0))))</f>
        <v xml:space="preserve"> </v>
      </c>
      <c r="K52" t="str" cm="1">
        <f t="array" ref="K52">IF(F52=0," ",IF(ISBLANK(INDEX(Initial_Component_aggregator!H:H,MATCH(F52,Initial_Component_aggregator!B:B))),D52,INDEX(Initial_Component_aggregator!I:I,MATCH(J52,Initial_Component_aggregator!H:H))))</f>
        <v xml:space="preserve"> </v>
      </c>
      <c r="L52" t="str" cm="1">
        <f t="array" ref="L52">IF(F52=0," ",IF(ISBLANK(INDEX(Initial_Component_aggregator!H:H,MATCH(F52,Initial_Component_aggregator!B:B))),E52,INDEX(Initial_Component_aggregator!J:J,MATCH(J52,Initial_Component_aggregator!H:H))))</f>
        <v xml:space="preserve"> </v>
      </c>
      <c r="M52" t="str" cm="1">
        <f t="array" ref="M52">IF(F52=0," ",IF(ISBLANK(INDEX(Initial_Component_aggregator!H:H,MATCH(F52,Initial_Component_aggregator!B:B))),F52,INDEX(Initial_Component_aggregator!K:K,MATCH(J52,Initial_Component_aggregator!H:H))))</f>
        <v xml:space="preserve"> </v>
      </c>
    </row>
    <row r="53" spans="1:13" ht="36" customHeight="1">
      <c r="A53"/>
      <c r="B53"/>
      <c r="C53"/>
      <c r="D53"/>
      <c r="E53"/>
      <c r="F53"/>
      <c r="G53"/>
      <c r="H53" t="str">
        <f t="shared" si="0"/>
        <v xml:space="preserve"> </v>
      </c>
      <c r="I53" t="str" cm="1">
        <f t="array" ref="I53">IF(F53=0," ",IF(ISBLANK(INDEX(Initial_Component_aggregator!F:F,MATCH(F53,Initial_Component_aggregator!B:B,0))),"No change",INDEX(Initial_Component_aggregator!F:F,MATCH(F53,Initial_Component_aggregator!B:B,0))))</f>
        <v xml:space="preserve"> </v>
      </c>
      <c r="J53" t="str" cm="1">
        <f t="array" ref="J53">IF(F53=0," ",IF(ISBLANK(INDEX(Initial_Component_aggregator!H:H,MATCH(F53,Initial_Component_aggregator!B:B,0))),F53,INDEX(Initial_Component_aggregator!H:H,MATCH(F53,Initial_Component_aggregator!B:B,0))))</f>
        <v xml:space="preserve"> </v>
      </c>
      <c r="K53" t="str" cm="1">
        <f t="array" ref="K53">IF(F53=0," ",IF(ISBLANK(INDEX(Initial_Component_aggregator!H:H,MATCH(F53,Initial_Component_aggregator!B:B))),D53,INDEX(Initial_Component_aggregator!I:I,MATCH(J53,Initial_Component_aggregator!H:H))))</f>
        <v xml:space="preserve"> </v>
      </c>
      <c r="L53" t="str" cm="1">
        <f t="array" ref="L53">IF(F53=0," ",IF(ISBLANK(INDEX(Initial_Component_aggregator!H:H,MATCH(F53,Initial_Component_aggregator!B:B))),E53,INDEX(Initial_Component_aggregator!J:J,MATCH(J53,Initial_Component_aggregator!H:H))))</f>
        <v xml:space="preserve"> </v>
      </c>
      <c r="M53" t="str" cm="1">
        <f t="array" ref="M53">IF(F53=0," ",IF(ISBLANK(INDEX(Initial_Component_aggregator!H:H,MATCH(F53,Initial_Component_aggregator!B:B))),F53,INDEX(Initial_Component_aggregator!K:K,MATCH(J53,Initial_Component_aggregator!H:H))))</f>
        <v xml:space="preserve"> </v>
      </c>
    </row>
    <row r="54" spans="1:13" ht="36" customHeight="1">
      <c r="A54"/>
      <c r="B54"/>
      <c r="C54"/>
      <c r="D54"/>
      <c r="E54"/>
      <c r="F54"/>
      <c r="G54"/>
      <c r="H54" t="str">
        <f t="shared" si="0"/>
        <v xml:space="preserve"> </v>
      </c>
      <c r="I54" t="str" cm="1">
        <f t="array" ref="I54">IF(F54=0," ",IF(ISBLANK(INDEX(Initial_Component_aggregator!F:F,MATCH(F54,Initial_Component_aggregator!B:B,0))),"No change",INDEX(Initial_Component_aggregator!F:F,MATCH(F54,Initial_Component_aggregator!B:B,0))))</f>
        <v xml:space="preserve"> </v>
      </c>
      <c r="J54" t="str" cm="1">
        <f t="array" ref="J54">IF(F54=0," ",IF(ISBLANK(INDEX(Initial_Component_aggregator!H:H,MATCH(F54,Initial_Component_aggregator!B:B,0))),F54,INDEX(Initial_Component_aggregator!H:H,MATCH(F54,Initial_Component_aggregator!B:B,0))))</f>
        <v xml:space="preserve"> </v>
      </c>
      <c r="K54" t="str" cm="1">
        <f t="array" ref="K54">IF(F54=0," ",IF(ISBLANK(INDEX(Initial_Component_aggregator!H:H,MATCH(F54,Initial_Component_aggregator!B:B))),D54,INDEX(Initial_Component_aggregator!I:I,MATCH(J54,Initial_Component_aggregator!H:H))))</f>
        <v xml:space="preserve"> </v>
      </c>
      <c r="L54" t="str" cm="1">
        <f t="array" ref="L54">IF(F54=0," ",IF(ISBLANK(INDEX(Initial_Component_aggregator!H:H,MATCH(F54,Initial_Component_aggregator!B:B))),E54,INDEX(Initial_Component_aggregator!J:J,MATCH(J54,Initial_Component_aggregator!H:H))))</f>
        <v xml:space="preserve"> </v>
      </c>
      <c r="M54" t="str" cm="1">
        <f t="array" ref="M54">IF(F54=0," ",IF(ISBLANK(INDEX(Initial_Component_aggregator!H:H,MATCH(F54,Initial_Component_aggregator!B:B))),F54,INDEX(Initial_Component_aggregator!K:K,MATCH(J54,Initial_Component_aggregator!H:H))))</f>
        <v xml:space="preserve"> </v>
      </c>
    </row>
    <row r="55" spans="1:13" ht="36" customHeight="1">
      <c r="A55"/>
      <c r="B55"/>
      <c r="C55"/>
      <c r="D55"/>
      <c r="E55"/>
      <c r="F55"/>
      <c r="G55"/>
      <c r="H55" t="str">
        <f t="shared" si="0"/>
        <v xml:space="preserve"> </v>
      </c>
      <c r="I55" t="str" cm="1">
        <f t="array" ref="I55">IF(F55=0," ",IF(ISBLANK(INDEX(Initial_Component_aggregator!F:F,MATCH(F55,Initial_Component_aggregator!B:B,0))),"No change",INDEX(Initial_Component_aggregator!F:F,MATCH(F55,Initial_Component_aggregator!B:B,0))))</f>
        <v xml:space="preserve"> </v>
      </c>
      <c r="J55" t="str" cm="1">
        <f t="array" ref="J55">IF(F55=0," ",IF(ISBLANK(INDEX(Initial_Component_aggregator!H:H,MATCH(F55,Initial_Component_aggregator!B:B,0))),F55,INDEX(Initial_Component_aggregator!H:H,MATCH(F55,Initial_Component_aggregator!B:B,0))))</f>
        <v xml:space="preserve"> </v>
      </c>
      <c r="K55" t="str" cm="1">
        <f t="array" ref="K55">IF(F55=0," ",IF(ISBLANK(INDEX(Initial_Component_aggregator!H:H,MATCH(F55,Initial_Component_aggregator!B:B))),D55,INDEX(Initial_Component_aggregator!I:I,MATCH(J55,Initial_Component_aggregator!H:H))))</f>
        <v xml:space="preserve"> </v>
      </c>
      <c r="L55" t="str" cm="1">
        <f t="array" ref="L55">IF(F55=0," ",IF(ISBLANK(INDEX(Initial_Component_aggregator!H:H,MATCH(F55,Initial_Component_aggregator!B:B))),E55,INDEX(Initial_Component_aggregator!J:J,MATCH(J55,Initial_Component_aggregator!H:H))))</f>
        <v xml:space="preserve"> </v>
      </c>
      <c r="M55" t="str" cm="1">
        <f t="array" ref="M55">IF(F55=0," ",IF(ISBLANK(INDEX(Initial_Component_aggregator!H:H,MATCH(F55,Initial_Component_aggregator!B:B))),F55,INDEX(Initial_Component_aggregator!K:K,MATCH(J55,Initial_Component_aggregator!H:H))))</f>
        <v xml:space="preserve"> </v>
      </c>
    </row>
    <row r="56" spans="1:13" ht="36" customHeight="1">
      <c r="A56"/>
      <c r="B56"/>
      <c r="C56"/>
      <c r="D56"/>
      <c r="E56"/>
      <c r="F56"/>
      <c r="G56"/>
      <c r="H56" t="str">
        <f t="shared" si="0"/>
        <v xml:space="preserve"> </v>
      </c>
      <c r="I56" t="str" cm="1">
        <f t="array" ref="I56">IF(F56=0," ",IF(ISBLANK(INDEX(Initial_Component_aggregator!F:F,MATCH(F56,Initial_Component_aggregator!B:B,0))),"No change",INDEX(Initial_Component_aggregator!F:F,MATCH(F56,Initial_Component_aggregator!B:B,0))))</f>
        <v xml:space="preserve"> </v>
      </c>
      <c r="J56" t="str" cm="1">
        <f t="array" ref="J56">IF(F56=0," ",IF(ISBLANK(INDEX(Initial_Component_aggregator!H:H,MATCH(F56,Initial_Component_aggregator!B:B,0))),F56,INDEX(Initial_Component_aggregator!H:H,MATCH(F56,Initial_Component_aggregator!B:B,0))))</f>
        <v xml:space="preserve"> </v>
      </c>
      <c r="K56" t="str" cm="1">
        <f t="array" ref="K56">IF(F56=0," ",IF(ISBLANK(INDEX(Initial_Component_aggregator!H:H,MATCH(F56,Initial_Component_aggregator!B:B))),D56,INDEX(Initial_Component_aggregator!I:I,MATCH(J56,Initial_Component_aggregator!H:H))))</f>
        <v xml:space="preserve"> </v>
      </c>
      <c r="L56" t="str" cm="1">
        <f t="array" ref="L56">IF(F56=0," ",IF(ISBLANK(INDEX(Initial_Component_aggregator!H:H,MATCH(F56,Initial_Component_aggregator!B:B))),E56,INDEX(Initial_Component_aggregator!J:J,MATCH(J56,Initial_Component_aggregator!H:H))))</f>
        <v xml:space="preserve"> </v>
      </c>
      <c r="M56" t="str" cm="1">
        <f t="array" ref="M56">IF(F56=0," ",IF(ISBLANK(INDEX(Initial_Component_aggregator!H:H,MATCH(F56,Initial_Component_aggregator!B:B))),F56,INDEX(Initial_Component_aggregator!K:K,MATCH(J56,Initial_Component_aggregator!H:H))))</f>
        <v xml:space="preserve"> </v>
      </c>
    </row>
    <row r="57" spans="1:13" ht="36" customHeight="1">
      <c r="A57"/>
      <c r="B57"/>
      <c r="C57"/>
      <c r="D57"/>
      <c r="E57"/>
      <c r="F57"/>
      <c r="G57"/>
      <c r="H57" t="str">
        <f t="shared" si="0"/>
        <v xml:space="preserve"> </v>
      </c>
      <c r="I57" t="str" cm="1">
        <f t="array" ref="I57">IF(F57=0," ",IF(ISBLANK(INDEX(Initial_Component_aggregator!F:F,MATCH(F57,Initial_Component_aggregator!B:B,0))),"No change",INDEX(Initial_Component_aggregator!F:F,MATCH(F57,Initial_Component_aggregator!B:B,0))))</f>
        <v xml:space="preserve"> </v>
      </c>
      <c r="J57" t="str" cm="1">
        <f t="array" ref="J57">IF(F57=0," ",IF(ISBLANK(INDEX(Initial_Component_aggregator!H:H,MATCH(F57,Initial_Component_aggregator!B:B,0))),F57,INDEX(Initial_Component_aggregator!H:H,MATCH(F57,Initial_Component_aggregator!B:B,0))))</f>
        <v xml:space="preserve"> </v>
      </c>
      <c r="K57" t="str" cm="1">
        <f t="array" ref="K57">IF(F57=0," ",IF(ISBLANK(INDEX(Initial_Component_aggregator!H:H,MATCH(F57,Initial_Component_aggregator!B:B))),D57,INDEX(Initial_Component_aggregator!I:I,MATCH(J57,Initial_Component_aggregator!H:H))))</f>
        <v xml:space="preserve"> </v>
      </c>
      <c r="L57" t="str" cm="1">
        <f t="array" ref="L57">IF(F57=0," ",IF(ISBLANK(INDEX(Initial_Component_aggregator!H:H,MATCH(F57,Initial_Component_aggregator!B:B))),E57,INDEX(Initial_Component_aggregator!J:J,MATCH(J57,Initial_Component_aggregator!H:H))))</f>
        <v xml:space="preserve"> </v>
      </c>
      <c r="M57" t="str" cm="1">
        <f t="array" ref="M57">IF(F57=0," ",IF(ISBLANK(INDEX(Initial_Component_aggregator!H:H,MATCH(F57,Initial_Component_aggregator!B:B))),F57,INDEX(Initial_Component_aggregator!K:K,MATCH(J57,Initial_Component_aggregator!H:H))))</f>
        <v xml:space="preserve"> </v>
      </c>
    </row>
    <row r="58" spans="1:13" ht="36" customHeight="1">
      <c r="A58"/>
      <c r="B58"/>
      <c r="C58"/>
      <c r="D58"/>
      <c r="E58"/>
      <c r="F58"/>
      <c r="G58"/>
      <c r="H58" t="str">
        <f t="shared" si="0"/>
        <v xml:space="preserve"> </v>
      </c>
      <c r="I58" t="str" cm="1">
        <f t="array" ref="I58">IF(F58=0," ",IF(ISBLANK(INDEX(Initial_Component_aggregator!F:F,MATCH(F58,Initial_Component_aggregator!B:B,0))),"No change",INDEX(Initial_Component_aggregator!F:F,MATCH(F58,Initial_Component_aggregator!B:B,0))))</f>
        <v xml:space="preserve"> </v>
      </c>
      <c r="J58" t="str" cm="1">
        <f t="array" ref="J58">IF(F58=0," ",IF(ISBLANK(INDEX(Initial_Component_aggregator!H:H,MATCH(F58,Initial_Component_aggregator!B:B,0))),F58,INDEX(Initial_Component_aggregator!H:H,MATCH(F58,Initial_Component_aggregator!B:B,0))))</f>
        <v xml:space="preserve"> </v>
      </c>
      <c r="K58" t="str" cm="1">
        <f t="array" ref="K58">IF(F58=0," ",IF(ISBLANK(INDEX(Initial_Component_aggregator!H:H,MATCH(F58,Initial_Component_aggregator!B:B))),D58,INDEX(Initial_Component_aggregator!I:I,MATCH(J58,Initial_Component_aggregator!H:H))))</f>
        <v xml:space="preserve"> </v>
      </c>
      <c r="L58" t="str" cm="1">
        <f t="array" ref="L58">IF(F58=0," ",IF(ISBLANK(INDEX(Initial_Component_aggregator!H:H,MATCH(F58,Initial_Component_aggregator!B:B))),E58,INDEX(Initial_Component_aggregator!J:J,MATCH(J58,Initial_Component_aggregator!H:H))))</f>
        <v xml:space="preserve"> </v>
      </c>
      <c r="M58" t="str" cm="1">
        <f t="array" ref="M58">IF(F58=0," ",IF(ISBLANK(INDEX(Initial_Component_aggregator!H:H,MATCH(F58,Initial_Component_aggregator!B:B))),F58,INDEX(Initial_Component_aggregator!K:K,MATCH(J58,Initial_Component_aggregator!H:H))))</f>
        <v xml:space="preserve"> </v>
      </c>
    </row>
    <row r="59" spans="1:13" ht="36" customHeight="1">
      <c r="A59"/>
      <c r="B59"/>
      <c r="C59"/>
      <c r="D59"/>
      <c r="E59"/>
      <c r="F59"/>
      <c r="G59"/>
      <c r="H59" t="str">
        <f t="shared" si="0"/>
        <v xml:space="preserve"> </v>
      </c>
      <c r="I59" t="str" cm="1">
        <f t="array" ref="I59">IF(F59=0," ",IF(ISBLANK(INDEX(Initial_Component_aggregator!F:F,MATCH(F59,Initial_Component_aggregator!B:B,0))),"No change",INDEX(Initial_Component_aggregator!F:F,MATCH(F59,Initial_Component_aggregator!B:B,0))))</f>
        <v xml:space="preserve"> </v>
      </c>
      <c r="J59" t="str" cm="1">
        <f t="array" ref="J59">IF(F59=0," ",IF(ISBLANK(INDEX(Initial_Component_aggregator!H:H,MATCH(F59,Initial_Component_aggregator!B:B,0))),F59,INDEX(Initial_Component_aggregator!H:H,MATCH(F59,Initial_Component_aggregator!B:B,0))))</f>
        <v xml:space="preserve"> </v>
      </c>
      <c r="K59" t="str" cm="1">
        <f t="array" ref="K59">IF(F59=0," ",IF(ISBLANK(INDEX(Initial_Component_aggregator!H:H,MATCH(F59,Initial_Component_aggregator!B:B))),D59,INDEX(Initial_Component_aggregator!I:I,MATCH(J59,Initial_Component_aggregator!H:H))))</f>
        <v xml:space="preserve"> </v>
      </c>
      <c r="L59" t="str" cm="1">
        <f t="array" ref="L59">IF(F59=0," ",IF(ISBLANK(INDEX(Initial_Component_aggregator!H:H,MATCH(F59,Initial_Component_aggregator!B:B))),E59,INDEX(Initial_Component_aggregator!J:J,MATCH(J59,Initial_Component_aggregator!H:H))))</f>
        <v xml:space="preserve"> </v>
      </c>
      <c r="M59" t="str" cm="1">
        <f t="array" ref="M59">IF(F59=0," ",IF(ISBLANK(INDEX(Initial_Component_aggregator!H:H,MATCH(F59,Initial_Component_aggregator!B:B))),F59,INDEX(Initial_Component_aggregator!K:K,MATCH(J59,Initial_Component_aggregator!H:H))))</f>
        <v xml:space="preserve"> </v>
      </c>
    </row>
    <row r="60" spans="1:13" ht="36" customHeight="1">
      <c r="A60"/>
      <c r="B60"/>
      <c r="C60"/>
      <c r="D60"/>
      <c r="E60"/>
      <c r="F60"/>
      <c r="G60"/>
      <c r="H60" t="str">
        <f t="shared" si="0"/>
        <v xml:space="preserve"> </v>
      </c>
      <c r="I60" t="str" cm="1">
        <f t="array" ref="I60">IF(F60=0," ",IF(ISBLANK(INDEX(Initial_Component_aggregator!F:F,MATCH(F60,Initial_Component_aggregator!B:B,0))),"No change",INDEX(Initial_Component_aggregator!F:F,MATCH(F60,Initial_Component_aggregator!B:B,0))))</f>
        <v xml:space="preserve"> </v>
      </c>
      <c r="J60" t="str" cm="1">
        <f t="array" ref="J60">IF(F60=0," ",IF(ISBLANK(INDEX(Initial_Component_aggregator!H:H,MATCH(F60,Initial_Component_aggregator!B:B,0))),F60,INDEX(Initial_Component_aggregator!H:H,MATCH(F60,Initial_Component_aggregator!B:B,0))))</f>
        <v xml:space="preserve"> </v>
      </c>
      <c r="K60" t="str" cm="1">
        <f t="array" ref="K60">IF(F60=0," ",IF(ISBLANK(INDEX(Initial_Component_aggregator!H:H,MATCH(F60,Initial_Component_aggregator!B:B))),D60,INDEX(Initial_Component_aggregator!I:I,MATCH(J60,Initial_Component_aggregator!H:H))))</f>
        <v xml:space="preserve"> </v>
      </c>
      <c r="L60" t="str" cm="1">
        <f t="array" ref="L60">IF(F60=0," ",IF(ISBLANK(INDEX(Initial_Component_aggregator!H:H,MATCH(F60,Initial_Component_aggregator!B:B))),E60,INDEX(Initial_Component_aggregator!J:J,MATCH(J60,Initial_Component_aggregator!H:H))))</f>
        <v xml:space="preserve"> </v>
      </c>
      <c r="M60" t="str" cm="1">
        <f t="array" ref="M60">IF(F60=0," ",IF(ISBLANK(INDEX(Initial_Component_aggregator!H:H,MATCH(F60,Initial_Component_aggregator!B:B))),F60,INDEX(Initial_Component_aggregator!K:K,MATCH(J60,Initial_Component_aggregator!H:H))))</f>
        <v xml:space="preserve"> </v>
      </c>
    </row>
    <row r="61" spans="1:13" ht="36" customHeight="1">
      <c r="A61"/>
      <c r="B61"/>
      <c r="C61"/>
      <c r="D61"/>
      <c r="E61"/>
      <c r="F61"/>
      <c r="G61"/>
      <c r="H61" t="str">
        <f t="shared" si="0"/>
        <v xml:space="preserve"> </v>
      </c>
      <c r="I61" t="str" cm="1">
        <f t="array" ref="I61">IF(F61=0," ",IF(ISBLANK(INDEX(Initial_Component_aggregator!F:F,MATCH(F61,Initial_Component_aggregator!B:B,0))),"No change",INDEX(Initial_Component_aggregator!F:F,MATCH(F61,Initial_Component_aggregator!B:B,0))))</f>
        <v xml:space="preserve"> </v>
      </c>
      <c r="J61" t="str" cm="1">
        <f t="array" ref="J61">IF(F61=0," ",IF(ISBLANK(INDEX(Initial_Component_aggregator!H:H,MATCH(F61,Initial_Component_aggregator!B:B,0))),F61,INDEX(Initial_Component_aggregator!H:H,MATCH(F61,Initial_Component_aggregator!B:B,0))))</f>
        <v xml:space="preserve"> </v>
      </c>
      <c r="K61" t="str" cm="1">
        <f t="array" ref="K61">IF(F61=0," ",IF(ISBLANK(INDEX(Initial_Component_aggregator!H:H,MATCH(F61,Initial_Component_aggregator!B:B))),D61,INDEX(Initial_Component_aggregator!I:I,MATCH(J61,Initial_Component_aggregator!H:H))))</f>
        <v xml:space="preserve"> </v>
      </c>
      <c r="L61" t="str" cm="1">
        <f t="array" ref="L61">IF(F61=0," ",IF(ISBLANK(INDEX(Initial_Component_aggregator!H:H,MATCH(F61,Initial_Component_aggregator!B:B))),E61,INDEX(Initial_Component_aggregator!J:J,MATCH(J61,Initial_Component_aggregator!H:H))))</f>
        <v xml:space="preserve"> </v>
      </c>
      <c r="M61" t="str" cm="1">
        <f t="array" ref="M61">IF(F61=0," ",IF(ISBLANK(INDEX(Initial_Component_aggregator!H:H,MATCH(F61,Initial_Component_aggregator!B:B))),F61,INDEX(Initial_Component_aggregator!K:K,MATCH(J61,Initial_Component_aggregator!H:H))))</f>
        <v xml:space="preserve"> </v>
      </c>
    </row>
    <row r="62" spans="1:13" ht="36" customHeight="1">
      <c r="A62"/>
      <c r="B62"/>
      <c r="C62"/>
      <c r="D62"/>
      <c r="E62"/>
      <c r="F62"/>
      <c r="G62"/>
      <c r="H62" t="str">
        <f t="shared" si="0"/>
        <v xml:space="preserve"> </v>
      </c>
      <c r="I62" t="str" cm="1">
        <f t="array" ref="I62">IF(F62=0," ",IF(ISBLANK(INDEX(Initial_Component_aggregator!F:F,MATCH(F62,Initial_Component_aggregator!B:B,0))),"No change",INDEX(Initial_Component_aggregator!F:F,MATCH(F62,Initial_Component_aggregator!B:B,0))))</f>
        <v xml:space="preserve"> </v>
      </c>
      <c r="J62" t="str" cm="1">
        <f t="array" ref="J62">IF(F62=0," ",IF(ISBLANK(INDEX(Initial_Component_aggregator!H:H,MATCH(F62,Initial_Component_aggregator!B:B,0))),F62,INDEX(Initial_Component_aggregator!H:H,MATCH(F62,Initial_Component_aggregator!B:B,0))))</f>
        <v xml:space="preserve"> </v>
      </c>
      <c r="K62" t="str" cm="1">
        <f t="array" ref="K62">IF(F62=0," ",IF(ISBLANK(INDEX(Initial_Component_aggregator!H:H,MATCH(F62,Initial_Component_aggregator!B:B))),D62,INDEX(Initial_Component_aggregator!I:I,MATCH(J62,Initial_Component_aggregator!H:H))))</f>
        <v xml:space="preserve"> </v>
      </c>
      <c r="L62" t="str" cm="1">
        <f t="array" ref="L62">IF(F62=0," ",IF(ISBLANK(INDEX(Initial_Component_aggregator!H:H,MATCH(F62,Initial_Component_aggregator!B:B))),E62,INDEX(Initial_Component_aggregator!J:J,MATCH(J62,Initial_Component_aggregator!H:H))))</f>
        <v xml:space="preserve"> </v>
      </c>
      <c r="M62" t="str" cm="1">
        <f t="array" ref="M62">IF(F62=0," ",IF(ISBLANK(INDEX(Initial_Component_aggregator!H:H,MATCH(F62,Initial_Component_aggregator!B:B))),F62,INDEX(Initial_Component_aggregator!K:K,MATCH(J62,Initial_Component_aggregator!H:H))))</f>
        <v xml:space="preserve"> </v>
      </c>
    </row>
    <row r="63" spans="1:13" ht="36" customHeight="1">
      <c r="A63"/>
      <c r="B63"/>
      <c r="C63"/>
      <c r="D63"/>
      <c r="E63"/>
      <c r="F63"/>
      <c r="G63"/>
      <c r="H63" t="str">
        <f t="shared" si="0"/>
        <v xml:space="preserve"> </v>
      </c>
      <c r="I63" t="str" cm="1">
        <f t="array" ref="I63">IF(F63=0," ",IF(ISBLANK(INDEX(Initial_Component_aggregator!F:F,MATCH(F63,Initial_Component_aggregator!B:B,0))),"No change",INDEX(Initial_Component_aggregator!F:F,MATCH(F63,Initial_Component_aggregator!B:B,0))))</f>
        <v xml:space="preserve"> </v>
      </c>
      <c r="J63" t="str" cm="1">
        <f t="array" ref="J63">IF(F63=0," ",IF(ISBLANK(INDEX(Initial_Component_aggregator!H:H,MATCH(F63,Initial_Component_aggregator!B:B,0))),F63,INDEX(Initial_Component_aggregator!H:H,MATCH(F63,Initial_Component_aggregator!B:B,0))))</f>
        <v xml:space="preserve"> </v>
      </c>
      <c r="K63" t="str" cm="1">
        <f t="array" ref="K63">IF(F63=0," ",IF(ISBLANK(INDEX(Initial_Component_aggregator!H:H,MATCH(F63,Initial_Component_aggregator!B:B))),D63,INDEX(Initial_Component_aggregator!I:I,MATCH(J63,Initial_Component_aggregator!H:H))))</f>
        <v xml:space="preserve"> </v>
      </c>
      <c r="L63" t="str" cm="1">
        <f t="array" ref="L63">IF(F63=0," ",IF(ISBLANK(INDEX(Initial_Component_aggregator!H:H,MATCH(F63,Initial_Component_aggregator!B:B))),E63,INDEX(Initial_Component_aggregator!J:J,MATCH(J63,Initial_Component_aggregator!H:H))))</f>
        <v xml:space="preserve"> </v>
      </c>
      <c r="M63" t="str" cm="1">
        <f t="array" ref="M63">IF(F63=0," ",IF(ISBLANK(INDEX(Initial_Component_aggregator!H:H,MATCH(F63,Initial_Component_aggregator!B:B))),F63,INDEX(Initial_Component_aggregator!K:K,MATCH(J63,Initial_Component_aggregator!H:H))))</f>
        <v xml:space="preserve"> </v>
      </c>
    </row>
    <row r="64" spans="1:13" ht="36" customHeight="1">
      <c r="A64"/>
      <c r="B64"/>
      <c r="C64"/>
      <c r="D64"/>
      <c r="E64"/>
      <c r="F64"/>
      <c r="G64"/>
      <c r="H64" t="str">
        <f t="shared" si="0"/>
        <v xml:space="preserve"> </v>
      </c>
      <c r="I64" t="str" cm="1">
        <f t="array" ref="I64">IF(F64=0," ",IF(ISBLANK(INDEX(Initial_Component_aggregator!F:F,MATCH(F64,Initial_Component_aggregator!B:B,0))),"No change",INDEX(Initial_Component_aggregator!F:F,MATCH(F64,Initial_Component_aggregator!B:B,0))))</f>
        <v xml:space="preserve"> </v>
      </c>
      <c r="J64" t="str" cm="1">
        <f t="array" ref="J64">IF(F64=0," ",IF(ISBLANK(INDEX(Initial_Component_aggregator!H:H,MATCH(F64,Initial_Component_aggregator!B:B,0))),F64,INDEX(Initial_Component_aggregator!H:H,MATCH(F64,Initial_Component_aggregator!B:B,0))))</f>
        <v xml:space="preserve"> </v>
      </c>
      <c r="K64" t="str" cm="1">
        <f t="array" ref="K64">IF(F64=0," ",IF(ISBLANK(INDEX(Initial_Component_aggregator!H:H,MATCH(F64,Initial_Component_aggregator!B:B))),D64,INDEX(Initial_Component_aggregator!I:I,MATCH(J64,Initial_Component_aggregator!H:H))))</f>
        <v xml:space="preserve"> </v>
      </c>
      <c r="L64" t="str" cm="1">
        <f t="array" ref="L64">IF(F64=0," ",IF(ISBLANK(INDEX(Initial_Component_aggregator!H:H,MATCH(F64,Initial_Component_aggregator!B:B))),E64,INDEX(Initial_Component_aggregator!J:J,MATCH(J64,Initial_Component_aggregator!H:H))))</f>
        <v xml:space="preserve"> </v>
      </c>
      <c r="M64" t="str" cm="1">
        <f t="array" ref="M64">IF(F64=0," ",IF(ISBLANK(INDEX(Initial_Component_aggregator!H:H,MATCH(F64,Initial_Component_aggregator!B:B))),F64,INDEX(Initial_Component_aggregator!K:K,MATCH(J64,Initial_Component_aggregator!H:H))))</f>
        <v xml:space="preserve"> </v>
      </c>
    </row>
    <row r="65" spans="1:13" ht="36" customHeight="1">
      <c r="A65"/>
      <c r="B65"/>
      <c r="C65"/>
      <c r="D65"/>
      <c r="E65"/>
      <c r="F65"/>
      <c r="G65"/>
      <c r="H65" t="str">
        <f t="shared" si="0"/>
        <v xml:space="preserve"> </v>
      </c>
      <c r="I65" t="str" cm="1">
        <f t="array" ref="I65">IF(F65=0," ",IF(ISBLANK(INDEX(Initial_Component_aggregator!F:F,MATCH(F65,Initial_Component_aggregator!B:B,0))),"No change",INDEX(Initial_Component_aggregator!F:F,MATCH(F65,Initial_Component_aggregator!B:B,0))))</f>
        <v xml:space="preserve"> </v>
      </c>
      <c r="J65" t="str" cm="1">
        <f t="array" ref="J65">IF(F65=0," ",IF(ISBLANK(INDEX(Initial_Component_aggregator!H:H,MATCH(F65,Initial_Component_aggregator!B:B,0))),F65,INDEX(Initial_Component_aggregator!H:H,MATCH(F65,Initial_Component_aggregator!B:B,0))))</f>
        <v xml:space="preserve"> </v>
      </c>
      <c r="K65" t="str" cm="1">
        <f t="array" ref="K65">IF(F65=0," ",IF(ISBLANK(INDEX(Initial_Component_aggregator!H:H,MATCH(F65,Initial_Component_aggregator!B:B))),D65,INDEX(Initial_Component_aggregator!I:I,MATCH(J65,Initial_Component_aggregator!H:H))))</f>
        <v xml:space="preserve"> </v>
      </c>
      <c r="L65" t="str" cm="1">
        <f t="array" ref="L65">IF(F65=0," ",IF(ISBLANK(INDEX(Initial_Component_aggregator!H:H,MATCH(F65,Initial_Component_aggregator!B:B))),E65,INDEX(Initial_Component_aggregator!J:J,MATCH(J65,Initial_Component_aggregator!H:H))))</f>
        <v xml:space="preserve"> </v>
      </c>
      <c r="M65" t="str" cm="1">
        <f t="array" ref="M65">IF(F65=0," ",IF(ISBLANK(INDEX(Initial_Component_aggregator!H:H,MATCH(F65,Initial_Component_aggregator!B:B))),F65,INDEX(Initial_Component_aggregator!K:K,MATCH(J65,Initial_Component_aggregator!H:H))))</f>
        <v xml:space="preserve"> </v>
      </c>
    </row>
    <row r="66" spans="1:13" ht="36" customHeight="1">
      <c r="A66"/>
      <c r="B66"/>
      <c r="C66"/>
      <c r="D66"/>
      <c r="E66"/>
      <c r="F66"/>
      <c r="G66"/>
      <c r="H66" t="str">
        <f t="shared" si="0"/>
        <v xml:space="preserve"> </v>
      </c>
      <c r="I66" t="str" cm="1">
        <f t="array" ref="I66">IF(F66=0," ",IF(ISBLANK(INDEX(Initial_Component_aggregator!F:F,MATCH(F66,Initial_Component_aggregator!B:B,0))),"No change",INDEX(Initial_Component_aggregator!F:F,MATCH(F66,Initial_Component_aggregator!B:B,0))))</f>
        <v xml:space="preserve"> </v>
      </c>
      <c r="J66" t="str" cm="1">
        <f t="array" ref="J66">IF(F66=0," ",IF(ISBLANK(INDEX(Initial_Component_aggregator!H:H,MATCH(F66,Initial_Component_aggregator!B:B,0))),F66,INDEX(Initial_Component_aggregator!H:H,MATCH(F66,Initial_Component_aggregator!B:B,0))))</f>
        <v xml:space="preserve"> </v>
      </c>
      <c r="K66" t="str" cm="1">
        <f t="array" ref="K66">IF(F66=0," ",IF(ISBLANK(INDEX(Initial_Component_aggregator!H:H,MATCH(F66,Initial_Component_aggregator!B:B))),D66,INDEX(Initial_Component_aggregator!I:I,MATCH(J66,Initial_Component_aggregator!H:H))))</f>
        <v xml:space="preserve"> </v>
      </c>
      <c r="L66" t="str" cm="1">
        <f t="array" ref="L66">IF(F66=0," ",IF(ISBLANK(INDEX(Initial_Component_aggregator!H:H,MATCH(F66,Initial_Component_aggregator!B:B))),E66,INDEX(Initial_Component_aggregator!J:J,MATCH(J66,Initial_Component_aggregator!H:H))))</f>
        <v xml:space="preserve"> </v>
      </c>
      <c r="M66" t="str" cm="1">
        <f t="array" ref="M66">IF(F66=0," ",IF(ISBLANK(INDEX(Initial_Component_aggregator!H:H,MATCH(F66,Initial_Component_aggregator!B:B))),F66,INDEX(Initial_Component_aggregator!K:K,MATCH(J66,Initial_Component_aggregator!H:H))))</f>
        <v xml:space="preserve"> </v>
      </c>
    </row>
    <row r="67" spans="1:13" ht="36" customHeight="1">
      <c r="A67"/>
      <c r="B67"/>
      <c r="C67"/>
      <c r="D67"/>
      <c r="E67"/>
      <c r="F67"/>
      <c r="G67"/>
      <c r="H67" t="str">
        <f t="shared" ref="H67:H130" si="1">IF(F67=0," ",(AND(IF(J67=F67,0,1),F67&lt;&gt;0)))</f>
        <v xml:space="preserve"> </v>
      </c>
      <c r="I67" t="str" cm="1">
        <f t="array" ref="I67">IF(F67=0," ",IF(ISBLANK(INDEX(Initial_Component_aggregator!F:F,MATCH(F67,Initial_Component_aggregator!B:B,0))),"No change",INDEX(Initial_Component_aggregator!F:F,MATCH(F67,Initial_Component_aggregator!B:B,0))))</f>
        <v xml:space="preserve"> </v>
      </c>
      <c r="J67" t="str" cm="1">
        <f t="array" ref="J67">IF(F67=0," ",IF(ISBLANK(INDEX(Initial_Component_aggregator!H:H,MATCH(F67,Initial_Component_aggregator!B:B,0))),F67,INDEX(Initial_Component_aggregator!H:H,MATCH(F67,Initial_Component_aggregator!B:B,0))))</f>
        <v xml:space="preserve"> </v>
      </c>
      <c r="K67" t="str" cm="1">
        <f t="array" ref="K67">IF(F67=0," ",IF(ISBLANK(INDEX(Initial_Component_aggregator!H:H,MATCH(F67,Initial_Component_aggregator!B:B))),D67,INDEX(Initial_Component_aggregator!I:I,MATCH(J67,Initial_Component_aggregator!H:H))))</f>
        <v xml:space="preserve"> </v>
      </c>
      <c r="L67" t="str" cm="1">
        <f t="array" ref="L67">IF(F67=0," ",IF(ISBLANK(INDEX(Initial_Component_aggregator!H:H,MATCH(F67,Initial_Component_aggregator!B:B))),E67,INDEX(Initial_Component_aggregator!J:J,MATCH(J67,Initial_Component_aggregator!H:H))))</f>
        <v xml:space="preserve"> </v>
      </c>
      <c r="M67" t="str" cm="1">
        <f t="array" ref="M67">IF(F67=0," ",IF(ISBLANK(INDEX(Initial_Component_aggregator!H:H,MATCH(F67,Initial_Component_aggregator!B:B))),F67,INDEX(Initial_Component_aggregator!K:K,MATCH(J67,Initial_Component_aggregator!H:H))))</f>
        <v xml:space="preserve"> </v>
      </c>
    </row>
    <row r="68" spans="1:13" ht="36" customHeight="1">
      <c r="A68"/>
      <c r="B68"/>
      <c r="C68"/>
      <c r="D68"/>
      <c r="E68"/>
      <c r="F68"/>
      <c r="G68"/>
      <c r="H68" t="str">
        <f t="shared" si="1"/>
        <v xml:space="preserve"> </v>
      </c>
      <c r="I68" t="str" cm="1">
        <f t="array" ref="I68">IF(F68=0," ",IF(ISBLANK(INDEX(Initial_Component_aggregator!F:F,MATCH(F68,Initial_Component_aggregator!B:B,0))),"No change",INDEX(Initial_Component_aggregator!F:F,MATCH(F68,Initial_Component_aggregator!B:B,0))))</f>
        <v xml:space="preserve"> </v>
      </c>
      <c r="J68" t="str" cm="1">
        <f t="array" ref="J68">IF(F68=0," ",IF(ISBLANK(INDEX(Initial_Component_aggregator!H:H,MATCH(F68,Initial_Component_aggregator!B:B,0))),F68,INDEX(Initial_Component_aggregator!H:H,MATCH(F68,Initial_Component_aggregator!B:B,0))))</f>
        <v xml:space="preserve"> </v>
      </c>
      <c r="K68" t="str" cm="1">
        <f t="array" ref="K68">IF(F68=0," ",IF(ISBLANK(INDEX(Initial_Component_aggregator!H:H,MATCH(F68,Initial_Component_aggregator!B:B))),D68,INDEX(Initial_Component_aggregator!I:I,MATCH(J68,Initial_Component_aggregator!H:H))))</f>
        <v xml:space="preserve"> </v>
      </c>
      <c r="L68" t="str" cm="1">
        <f t="array" ref="L68">IF(F68=0," ",IF(ISBLANK(INDEX(Initial_Component_aggregator!H:H,MATCH(F68,Initial_Component_aggregator!B:B))),E68,INDEX(Initial_Component_aggregator!J:J,MATCH(J68,Initial_Component_aggregator!H:H))))</f>
        <v xml:space="preserve"> </v>
      </c>
      <c r="M68" t="str" cm="1">
        <f t="array" ref="M68">IF(F68=0," ",IF(ISBLANK(INDEX(Initial_Component_aggregator!H:H,MATCH(F68,Initial_Component_aggregator!B:B))),F68,INDEX(Initial_Component_aggregator!K:K,MATCH(J68,Initial_Component_aggregator!H:H))))</f>
        <v xml:space="preserve"> </v>
      </c>
    </row>
    <row r="69" spans="1:13" ht="36" customHeight="1">
      <c r="A69"/>
      <c r="B69"/>
      <c r="C69"/>
      <c r="D69"/>
      <c r="E69"/>
      <c r="F69"/>
      <c r="G69"/>
      <c r="H69" t="str">
        <f t="shared" si="1"/>
        <v xml:space="preserve"> </v>
      </c>
      <c r="I69" t="str" cm="1">
        <f t="array" ref="I69">IF(F69=0," ",IF(ISBLANK(INDEX(Initial_Component_aggregator!F:F,MATCH(F69,Initial_Component_aggregator!B:B,0))),"No change",INDEX(Initial_Component_aggregator!F:F,MATCH(F69,Initial_Component_aggregator!B:B,0))))</f>
        <v xml:space="preserve"> </v>
      </c>
      <c r="J69" t="str" cm="1">
        <f t="array" ref="J69">IF(F69=0," ",IF(ISBLANK(INDEX(Initial_Component_aggregator!H:H,MATCH(F69,Initial_Component_aggregator!B:B,0))),F69,INDEX(Initial_Component_aggregator!H:H,MATCH(F69,Initial_Component_aggregator!B:B,0))))</f>
        <v xml:space="preserve"> </v>
      </c>
      <c r="K69" t="str" cm="1">
        <f t="array" ref="K69">IF(F69=0," ",IF(ISBLANK(INDEX(Initial_Component_aggregator!H:H,MATCH(F69,Initial_Component_aggregator!B:B))),D69,INDEX(Initial_Component_aggregator!I:I,MATCH(J69,Initial_Component_aggregator!H:H))))</f>
        <v xml:space="preserve"> </v>
      </c>
      <c r="L69" t="str" cm="1">
        <f t="array" ref="L69">IF(F69=0," ",IF(ISBLANK(INDEX(Initial_Component_aggregator!H:H,MATCH(F69,Initial_Component_aggregator!B:B))),E69,INDEX(Initial_Component_aggregator!J:J,MATCH(J69,Initial_Component_aggregator!H:H))))</f>
        <v xml:space="preserve"> </v>
      </c>
      <c r="M69" t="str" cm="1">
        <f t="array" ref="M69">IF(F69=0," ",IF(ISBLANK(INDEX(Initial_Component_aggregator!H:H,MATCH(F69,Initial_Component_aggregator!B:B))),F69,INDEX(Initial_Component_aggregator!K:K,MATCH(J69,Initial_Component_aggregator!H:H))))</f>
        <v xml:space="preserve"> </v>
      </c>
    </row>
    <row r="70" spans="1:13" ht="36" customHeight="1">
      <c r="A70"/>
      <c r="B70"/>
      <c r="C70"/>
      <c r="D70"/>
      <c r="E70"/>
      <c r="F70"/>
      <c r="G70"/>
      <c r="H70" t="str">
        <f t="shared" si="1"/>
        <v xml:space="preserve"> </v>
      </c>
      <c r="I70" t="str" cm="1">
        <f t="array" ref="I70">IF(F70=0," ",IF(ISBLANK(INDEX(Initial_Component_aggregator!F:F,MATCH(F70,Initial_Component_aggregator!B:B,0))),"No change",INDEX(Initial_Component_aggregator!F:F,MATCH(F70,Initial_Component_aggregator!B:B,0))))</f>
        <v xml:space="preserve"> </v>
      </c>
      <c r="J70" t="str" cm="1">
        <f t="array" ref="J70">IF(F70=0," ",IF(ISBLANK(INDEX(Initial_Component_aggregator!H:H,MATCH(F70,Initial_Component_aggregator!B:B,0))),F70,INDEX(Initial_Component_aggregator!H:H,MATCH(F70,Initial_Component_aggregator!B:B,0))))</f>
        <v xml:space="preserve"> </v>
      </c>
      <c r="K70" t="str" cm="1">
        <f t="array" ref="K70">IF(F70=0," ",IF(ISBLANK(INDEX(Initial_Component_aggregator!H:H,MATCH(F70,Initial_Component_aggregator!B:B))),D70,INDEX(Initial_Component_aggregator!I:I,MATCH(J70,Initial_Component_aggregator!H:H))))</f>
        <v xml:space="preserve"> </v>
      </c>
      <c r="L70" t="str" cm="1">
        <f t="array" ref="L70">IF(F70=0," ",IF(ISBLANK(INDEX(Initial_Component_aggregator!H:H,MATCH(F70,Initial_Component_aggregator!B:B))),E70,INDEX(Initial_Component_aggregator!J:J,MATCH(J70,Initial_Component_aggregator!H:H))))</f>
        <v xml:space="preserve"> </v>
      </c>
      <c r="M70" t="str" cm="1">
        <f t="array" ref="M70">IF(F70=0," ",IF(ISBLANK(INDEX(Initial_Component_aggregator!H:H,MATCH(F70,Initial_Component_aggregator!B:B))),F70,INDEX(Initial_Component_aggregator!K:K,MATCH(J70,Initial_Component_aggregator!H:H))))</f>
        <v xml:space="preserve"> </v>
      </c>
    </row>
    <row r="71" spans="1:13" ht="36" customHeight="1">
      <c r="A71"/>
      <c r="B71"/>
      <c r="C71"/>
      <c r="D71"/>
      <c r="E71"/>
      <c r="F71"/>
      <c r="G71"/>
      <c r="H71" t="str">
        <f t="shared" si="1"/>
        <v xml:space="preserve"> </v>
      </c>
      <c r="I71" t="str" cm="1">
        <f t="array" ref="I71">IF(F71=0," ",IF(ISBLANK(INDEX(Initial_Component_aggregator!F:F,MATCH(F71,Initial_Component_aggregator!B:B,0))),"No change",INDEX(Initial_Component_aggregator!F:F,MATCH(F71,Initial_Component_aggregator!B:B,0))))</f>
        <v xml:space="preserve"> </v>
      </c>
      <c r="J71" t="str" cm="1">
        <f t="array" ref="J71">IF(F71=0," ",IF(ISBLANK(INDEX(Initial_Component_aggregator!H:H,MATCH(F71,Initial_Component_aggregator!B:B,0))),F71,INDEX(Initial_Component_aggregator!H:H,MATCH(F71,Initial_Component_aggregator!B:B,0))))</f>
        <v xml:space="preserve"> </v>
      </c>
      <c r="K71" t="str" cm="1">
        <f t="array" ref="K71">IF(F71=0," ",IF(ISBLANK(INDEX(Initial_Component_aggregator!H:H,MATCH(F71,Initial_Component_aggregator!B:B))),D71,INDEX(Initial_Component_aggregator!I:I,MATCH(J71,Initial_Component_aggregator!H:H))))</f>
        <v xml:space="preserve"> </v>
      </c>
      <c r="L71" t="str" cm="1">
        <f t="array" ref="L71">IF(F71=0," ",IF(ISBLANK(INDEX(Initial_Component_aggregator!H:H,MATCH(F71,Initial_Component_aggregator!B:B))),E71,INDEX(Initial_Component_aggregator!J:J,MATCH(J71,Initial_Component_aggregator!H:H))))</f>
        <v xml:space="preserve"> </v>
      </c>
      <c r="M71" t="str" cm="1">
        <f t="array" ref="M71">IF(F71=0," ",IF(ISBLANK(INDEX(Initial_Component_aggregator!H:H,MATCH(F71,Initial_Component_aggregator!B:B))),F71,INDEX(Initial_Component_aggregator!K:K,MATCH(J71,Initial_Component_aggregator!H:H))))</f>
        <v xml:space="preserve"> </v>
      </c>
    </row>
    <row r="72" spans="1:13" ht="36" customHeight="1">
      <c r="A72"/>
      <c r="B72"/>
      <c r="C72"/>
      <c r="D72"/>
      <c r="E72"/>
      <c r="F72"/>
      <c r="G72"/>
      <c r="H72" t="str">
        <f t="shared" si="1"/>
        <v xml:space="preserve"> </v>
      </c>
      <c r="I72" t="str" cm="1">
        <f t="array" ref="I72">IF(F72=0," ",IF(ISBLANK(INDEX(Initial_Component_aggregator!F:F,MATCH(F72,Initial_Component_aggregator!B:B,0))),"No change",INDEX(Initial_Component_aggregator!F:F,MATCH(F72,Initial_Component_aggregator!B:B,0))))</f>
        <v xml:space="preserve"> </v>
      </c>
      <c r="J72" t="str" cm="1">
        <f t="array" ref="J72">IF(F72=0," ",IF(ISBLANK(INDEX(Initial_Component_aggregator!H:H,MATCH(F72,Initial_Component_aggregator!B:B,0))),F72,INDEX(Initial_Component_aggregator!H:H,MATCH(F72,Initial_Component_aggregator!B:B,0))))</f>
        <v xml:space="preserve"> </v>
      </c>
      <c r="K72" t="str" cm="1">
        <f t="array" ref="K72">IF(F72=0," ",IF(ISBLANK(INDEX(Initial_Component_aggregator!H:H,MATCH(F72,Initial_Component_aggregator!B:B))),D72,INDEX(Initial_Component_aggregator!I:I,MATCH(J72,Initial_Component_aggregator!H:H))))</f>
        <v xml:space="preserve"> </v>
      </c>
      <c r="L72" t="str" cm="1">
        <f t="array" ref="L72">IF(F72=0," ",IF(ISBLANK(INDEX(Initial_Component_aggregator!H:H,MATCH(F72,Initial_Component_aggregator!B:B))),E72,INDEX(Initial_Component_aggregator!J:J,MATCH(J72,Initial_Component_aggregator!H:H))))</f>
        <v xml:space="preserve"> </v>
      </c>
      <c r="M72" t="str" cm="1">
        <f t="array" ref="M72">IF(F72=0," ",IF(ISBLANK(INDEX(Initial_Component_aggregator!H:H,MATCH(F72,Initial_Component_aggregator!B:B))),F72,INDEX(Initial_Component_aggregator!K:K,MATCH(J72,Initial_Component_aggregator!H:H))))</f>
        <v xml:space="preserve"> </v>
      </c>
    </row>
    <row r="73" spans="1:13" ht="36" customHeight="1">
      <c r="A73"/>
      <c r="B73"/>
      <c r="C73"/>
      <c r="D73"/>
      <c r="E73"/>
      <c r="F73"/>
      <c r="G73"/>
      <c r="H73" t="str">
        <f t="shared" si="1"/>
        <v xml:space="preserve"> </v>
      </c>
      <c r="I73" t="str" cm="1">
        <f t="array" ref="I73">IF(F73=0," ",IF(ISBLANK(INDEX(Initial_Component_aggregator!F:F,MATCH(F73,Initial_Component_aggregator!B:B,0))),"No change",INDEX(Initial_Component_aggregator!F:F,MATCH(F73,Initial_Component_aggregator!B:B,0))))</f>
        <v xml:space="preserve"> </v>
      </c>
      <c r="J73" t="str" cm="1">
        <f t="array" ref="J73">IF(F73=0," ",IF(ISBLANK(INDEX(Initial_Component_aggregator!H:H,MATCH(F73,Initial_Component_aggregator!B:B,0))),F73,INDEX(Initial_Component_aggregator!H:H,MATCH(F73,Initial_Component_aggregator!B:B,0))))</f>
        <v xml:space="preserve"> </v>
      </c>
      <c r="K73" t="str" cm="1">
        <f t="array" ref="K73">IF(F73=0," ",IF(ISBLANK(INDEX(Initial_Component_aggregator!H:H,MATCH(F73,Initial_Component_aggregator!B:B))),D73,INDEX(Initial_Component_aggregator!I:I,MATCH(J73,Initial_Component_aggregator!H:H))))</f>
        <v xml:space="preserve"> </v>
      </c>
      <c r="L73" t="str" cm="1">
        <f t="array" ref="L73">IF(F73=0," ",IF(ISBLANK(INDEX(Initial_Component_aggregator!H:H,MATCH(F73,Initial_Component_aggregator!B:B))),E73,INDEX(Initial_Component_aggregator!J:J,MATCH(J73,Initial_Component_aggregator!H:H))))</f>
        <v xml:space="preserve"> </v>
      </c>
      <c r="M73" t="str" cm="1">
        <f t="array" ref="M73">IF(F73=0," ",IF(ISBLANK(INDEX(Initial_Component_aggregator!H:H,MATCH(F73,Initial_Component_aggregator!B:B))),F73,INDEX(Initial_Component_aggregator!K:K,MATCH(J73,Initial_Component_aggregator!H:H))))</f>
        <v xml:space="preserve"> </v>
      </c>
    </row>
    <row r="74" spans="1:13" ht="36" customHeight="1">
      <c r="A74"/>
      <c r="B74"/>
      <c r="C74"/>
      <c r="D74"/>
      <c r="E74"/>
      <c r="F74"/>
      <c r="G74"/>
      <c r="H74" t="str">
        <f t="shared" si="1"/>
        <v xml:space="preserve"> </v>
      </c>
      <c r="I74" t="str" cm="1">
        <f t="array" ref="I74">IF(F74=0," ",IF(ISBLANK(INDEX(Initial_Component_aggregator!F:F,MATCH(F74,Initial_Component_aggregator!B:B,0))),"No change",INDEX(Initial_Component_aggregator!F:F,MATCH(F74,Initial_Component_aggregator!B:B,0))))</f>
        <v xml:space="preserve"> </v>
      </c>
      <c r="J74" t="str" cm="1">
        <f t="array" ref="J74">IF(F74=0," ",IF(ISBLANK(INDEX(Initial_Component_aggregator!H:H,MATCH(F74,Initial_Component_aggregator!B:B,0))),F74,INDEX(Initial_Component_aggregator!H:H,MATCH(F74,Initial_Component_aggregator!B:B,0))))</f>
        <v xml:space="preserve"> </v>
      </c>
      <c r="K74" t="str" cm="1">
        <f t="array" ref="K74">IF(F74=0," ",IF(ISBLANK(INDEX(Initial_Component_aggregator!H:H,MATCH(F74,Initial_Component_aggregator!B:B))),D74,INDEX(Initial_Component_aggregator!I:I,MATCH(J74,Initial_Component_aggregator!H:H))))</f>
        <v xml:space="preserve"> </v>
      </c>
      <c r="L74" t="str" cm="1">
        <f t="array" ref="L74">IF(F74=0," ",IF(ISBLANK(INDEX(Initial_Component_aggregator!H:H,MATCH(F74,Initial_Component_aggregator!B:B))),E74,INDEX(Initial_Component_aggregator!J:J,MATCH(J74,Initial_Component_aggregator!H:H))))</f>
        <v xml:space="preserve"> </v>
      </c>
      <c r="M74" t="str" cm="1">
        <f t="array" ref="M74">IF(F74=0," ",IF(ISBLANK(INDEX(Initial_Component_aggregator!H:H,MATCH(F74,Initial_Component_aggregator!B:B))),F74,INDEX(Initial_Component_aggregator!K:K,MATCH(J74,Initial_Component_aggregator!H:H))))</f>
        <v xml:space="preserve"> </v>
      </c>
    </row>
    <row r="75" spans="1:13" ht="36" customHeight="1">
      <c r="A75"/>
      <c r="B75"/>
      <c r="C75"/>
      <c r="D75"/>
      <c r="E75"/>
      <c r="F75"/>
      <c r="G75"/>
      <c r="H75" t="str">
        <f t="shared" si="1"/>
        <v xml:space="preserve"> </v>
      </c>
      <c r="I75" t="str" cm="1">
        <f t="array" ref="I75">IF(F75=0," ",IF(ISBLANK(INDEX(Initial_Component_aggregator!F:F,MATCH(F75,Initial_Component_aggregator!B:B,0))),"No change",INDEX(Initial_Component_aggregator!F:F,MATCH(F75,Initial_Component_aggregator!B:B,0))))</f>
        <v xml:space="preserve"> </v>
      </c>
      <c r="J75" t="str" cm="1">
        <f t="array" ref="J75">IF(F75=0," ",IF(ISBLANK(INDEX(Initial_Component_aggregator!H:H,MATCH(F75,Initial_Component_aggregator!B:B,0))),F75,INDEX(Initial_Component_aggregator!H:H,MATCH(F75,Initial_Component_aggregator!B:B,0))))</f>
        <v xml:space="preserve"> </v>
      </c>
      <c r="K75" t="str" cm="1">
        <f t="array" ref="K75">IF(F75=0," ",IF(ISBLANK(INDEX(Initial_Component_aggregator!H:H,MATCH(F75,Initial_Component_aggregator!B:B))),D75,INDEX(Initial_Component_aggregator!I:I,MATCH(J75,Initial_Component_aggregator!H:H))))</f>
        <v xml:space="preserve"> </v>
      </c>
      <c r="L75" t="str" cm="1">
        <f t="array" ref="L75">IF(F75=0," ",IF(ISBLANK(INDEX(Initial_Component_aggregator!H:H,MATCH(F75,Initial_Component_aggregator!B:B))),E75,INDEX(Initial_Component_aggregator!J:J,MATCH(J75,Initial_Component_aggregator!H:H))))</f>
        <v xml:space="preserve"> </v>
      </c>
      <c r="M75" t="str" cm="1">
        <f t="array" ref="M75">IF(F75=0," ",IF(ISBLANK(INDEX(Initial_Component_aggregator!H:H,MATCH(F75,Initial_Component_aggregator!B:B))),F75,INDEX(Initial_Component_aggregator!K:K,MATCH(J75,Initial_Component_aggregator!H:H))))</f>
        <v xml:space="preserve"> </v>
      </c>
    </row>
    <row r="76" spans="1:13" ht="36" customHeight="1">
      <c r="A76"/>
      <c r="B76"/>
      <c r="C76"/>
      <c r="D76"/>
      <c r="E76"/>
      <c r="F76"/>
      <c r="G76"/>
      <c r="H76" t="str">
        <f t="shared" si="1"/>
        <v xml:space="preserve"> </v>
      </c>
      <c r="I76" t="str" cm="1">
        <f t="array" ref="I76">IF(F76=0," ",IF(ISBLANK(INDEX(Initial_Component_aggregator!F:F,MATCH(F76,Initial_Component_aggregator!B:B,0))),"No change",INDEX(Initial_Component_aggregator!F:F,MATCH(F76,Initial_Component_aggregator!B:B,0))))</f>
        <v xml:space="preserve"> </v>
      </c>
      <c r="J76" t="str" cm="1">
        <f t="array" ref="J76">IF(F76=0," ",IF(ISBLANK(INDEX(Initial_Component_aggregator!H:H,MATCH(F76,Initial_Component_aggregator!B:B,0))),F76,INDEX(Initial_Component_aggregator!H:H,MATCH(F76,Initial_Component_aggregator!B:B,0))))</f>
        <v xml:space="preserve"> </v>
      </c>
      <c r="K76" t="str" cm="1">
        <f t="array" ref="K76">IF(F76=0," ",IF(ISBLANK(INDEX(Initial_Component_aggregator!H:H,MATCH(F76,Initial_Component_aggregator!B:B))),D76,INDEX(Initial_Component_aggregator!I:I,MATCH(J76,Initial_Component_aggregator!H:H))))</f>
        <v xml:space="preserve"> </v>
      </c>
      <c r="L76" t="str" cm="1">
        <f t="array" ref="L76">IF(F76=0," ",IF(ISBLANK(INDEX(Initial_Component_aggregator!H:H,MATCH(F76,Initial_Component_aggregator!B:B))),E76,INDEX(Initial_Component_aggregator!J:J,MATCH(J76,Initial_Component_aggregator!H:H))))</f>
        <v xml:space="preserve"> </v>
      </c>
      <c r="M76" t="str" cm="1">
        <f t="array" ref="M76">IF(F76=0," ",IF(ISBLANK(INDEX(Initial_Component_aggregator!H:H,MATCH(F76,Initial_Component_aggregator!B:B))),F76,INDEX(Initial_Component_aggregator!K:K,MATCH(J76,Initial_Component_aggregator!H:H))))</f>
        <v xml:space="preserve"> </v>
      </c>
    </row>
    <row r="77" spans="1:13" ht="36" customHeight="1">
      <c r="A77"/>
      <c r="B77"/>
      <c r="C77"/>
      <c r="D77"/>
      <c r="E77"/>
      <c r="F77"/>
      <c r="G77"/>
      <c r="H77" t="str">
        <f t="shared" si="1"/>
        <v xml:space="preserve"> </v>
      </c>
      <c r="I77" t="str" cm="1">
        <f t="array" ref="I77">IF(F77=0," ",IF(ISBLANK(INDEX(Initial_Component_aggregator!F:F,MATCH(F77,Initial_Component_aggregator!B:B,0))),"No change",INDEX(Initial_Component_aggregator!F:F,MATCH(F77,Initial_Component_aggregator!B:B,0))))</f>
        <v xml:space="preserve"> </v>
      </c>
      <c r="J77" t="str" cm="1">
        <f t="array" ref="J77">IF(F77=0," ",IF(ISBLANK(INDEX(Initial_Component_aggregator!H:H,MATCH(F77,Initial_Component_aggregator!B:B,0))),F77,INDEX(Initial_Component_aggregator!H:H,MATCH(F77,Initial_Component_aggregator!B:B,0))))</f>
        <v xml:space="preserve"> </v>
      </c>
      <c r="K77" t="str" cm="1">
        <f t="array" ref="K77">IF(F77=0," ",IF(ISBLANK(INDEX(Initial_Component_aggregator!H:H,MATCH(F77,Initial_Component_aggregator!B:B))),D77,INDEX(Initial_Component_aggregator!I:I,MATCH(J77,Initial_Component_aggregator!H:H))))</f>
        <v xml:space="preserve"> </v>
      </c>
      <c r="L77" t="str" cm="1">
        <f t="array" ref="L77">IF(F77=0," ",IF(ISBLANK(INDEX(Initial_Component_aggregator!H:H,MATCH(F77,Initial_Component_aggregator!B:B))),E77,INDEX(Initial_Component_aggregator!J:J,MATCH(J77,Initial_Component_aggregator!H:H))))</f>
        <v xml:space="preserve"> </v>
      </c>
      <c r="M77" t="str" cm="1">
        <f t="array" ref="M77">IF(F77=0," ",IF(ISBLANK(INDEX(Initial_Component_aggregator!H:H,MATCH(F77,Initial_Component_aggregator!B:B))),F77,INDEX(Initial_Component_aggregator!K:K,MATCH(J77,Initial_Component_aggregator!H:H))))</f>
        <v xml:space="preserve"> </v>
      </c>
    </row>
    <row r="78" spans="1:13" ht="36" customHeight="1">
      <c r="A78"/>
      <c r="B78"/>
      <c r="C78"/>
      <c r="D78"/>
      <c r="E78"/>
      <c r="F78"/>
      <c r="G78"/>
      <c r="H78" t="str">
        <f t="shared" si="1"/>
        <v xml:space="preserve"> </v>
      </c>
      <c r="I78" t="str" cm="1">
        <f t="array" ref="I78">IF(F78=0," ",IF(ISBLANK(INDEX(Initial_Component_aggregator!F:F,MATCH(F78,Initial_Component_aggregator!B:B,0))),"No change",INDEX(Initial_Component_aggregator!F:F,MATCH(F78,Initial_Component_aggregator!B:B,0))))</f>
        <v xml:space="preserve"> </v>
      </c>
      <c r="J78" t="str" cm="1">
        <f t="array" ref="J78">IF(F78=0," ",IF(ISBLANK(INDEX(Initial_Component_aggregator!H:H,MATCH(F78,Initial_Component_aggregator!B:B,0))),F78,INDEX(Initial_Component_aggregator!H:H,MATCH(F78,Initial_Component_aggregator!B:B,0))))</f>
        <v xml:space="preserve"> </v>
      </c>
      <c r="K78" t="str" cm="1">
        <f t="array" ref="K78">IF(F78=0," ",IF(ISBLANK(INDEX(Initial_Component_aggregator!H:H,MATCH(F78,Initial_Component_aggregator!B:B))),D78,INDEX(Initial_Component_aggregator!I:I,MATCH(J78,Initial_Component_aggregator!H:H))))</f>
        <v xml:space="preserve"> </v>
      </c>
      <c r="L78" t="str" cm="1">
        <f t="array" ref="L78">IF(F78=0," ",IF(ISBLANK(INDEX(Initial_Component_aggregator!H:H,MATCH(F78,Initial_Component_aggregator!B:B))),E78,INDEX(Initial_Component_aggregator!J:J,MATCH(J78,Initial_Component_aggregator!H:H))))</f>
        <v xml:space="preserve"> </v>
      </c>
      <c r="M78" t="str" cm="1">
        <f t="array" ref="M78">IF(F78=0," ",IF(ISBLANK(INDEX(Initial_Component_aggregator!H:H,MATCH(F78,Initial_Component_aggregator!B:B))),F78,INDEX(Initial_Component_aggregator!K:K,MATCH(J78,Initial_Component_aggregator!H:H))))</f>
        <v xml:space="preserve"> </v>
      </c>
    </row>
    <row r="79" spans="1:13" ht="36" customHeight="1">
      <c r="A79"/>
      <c r="B79"/>
      <c r="C79"/>
      <c r="D79"/>
      <c r="E79"/>
      <c r="F79"/>
      <c r="G79"/>
      <c r="H79" t="str">
        <f t="shared" si="1"/>
        <v xml:space="preserve"> </v>
      </c>
      <c r="I79" t="str" cm="1">
        <f t="array" ref="I79">IF(F79=0," ",IF(ISBLANK(INDEX(Initial_Component_aggregator!F:F,MATCH(F79,Initial_Component_aggregator!B:B,0))),"No change",INDEX(Initial_Component_aggregator!F:F,MATCH(F79,Initial_Component_aggregator!B:B,0))))</f>
        <v xml:space="preserve"> </v>
      </c>
      <c r="J79" t="str" cm="1">
        <f t="array" ref="J79">IF(F79=0," ",IF(ISBLANK(INDEX(Initial_Component_aggregator!H:H,MATCH(F79,Initial_Component_aggregator!B:B,0))),F79,INDEX(Initial_Component_aggregator!H:H,MATCH(F79,Initial_Component_aggregator!B:B,0))))</f>
        <v xml:space="preserve"> </v>
      </c>
      <c r="K79" t="str" cm="1">
        <f t="array" ref="K79">IF(F79=0," ",IF(ISBLANK(INDEX(Initial_Component_aggregator!H:H,MATCH(F79,Initial_Component_aggregator!B:B))),D79,INDEX(Initial_Component_aggregator!I:I,MATCH(J79,Initial_Component_aggregator!H:H))))</f>
        <v xml:space="preserve"> </v>
      </c>
      <c r="L79" t="str" cm="1">
        <f t="array" ref="L79">IF(F79=0," ",IF(ISBLANK(INDEX(Initial_Component_aggregator!H:H,MATCH(F79,Initial_Component_aggregator!B:B))),E79,INDEX(Initial_Component_aggregator!J:J,MATCH(J79,Initial_Component_aggregator!H:H))))</f>
        <v xml:space="preserve"> </v>
      </c>
      <c r="M79" t="str" cm="1">
        <f t="array" ref="M79">IF(F79=0," ",IF(ISBLANK(INDEX(Initial_Component_aggregator!H:H,MATCH(F79,Initial_Component_aggregator!B:B))),F79,INDEX(Initial_Component_aggregator!K:K,MATCH(J79,Initial_Component_aggregator!H:H))))</f>
        <v xml:space="preserve"> </v>
      </c>
    </row>
    <row r="80" spans="1:13" ht="36" customHeight="1">
      <c r="A80"/>
      <c r="B80"/>
      <c r="C80"/>
      <c r="D80"/>
      <c r="E80"/>
      <c r="F80"/>
      <c r="G80"/>
      <c r="H80" t="str">
        <f t="shared" si="1"/>
        <v xml:space="preserve"> </v>
      </c>
      <c r="I80" t="str" cm="1">
        <f t="array" ref="I80">IF(F80=0," ",IF(ISBLANK(INDEX(Initial_Component_aggregator!F:F,MATCH(F80,Initial_Component_aggregator!B:B,0))),"No change",INDEX(Initial_Component_aggregator!F:F,MATCH(F80,Initial_Component_aggregator!B:B,0))))</f>
        <v xml:space="preserve"> </v>
      </c>
      <c r="J80" t="str" cm="1">
        <f t="array" ref="J80">IF(F80=0," ",IF(ISBLANK(INDEX(Initial_Component_aggregator!H:H,MATCH(F80,Initial_Component_aggregator!B:B,0))),F80,INDEX(Initial_Component_aggregator!H:H,MATCH(F80,Initial_Component_aggregator!B:B,0))))</f>
        <v xml:space="preserve"> </v>
      </c>
      <c r="K80" t="str" cm="1">
        <f t="array" ref="K80">IF(F80=0," ",IF(ISBLANK(INDEX(Initial_Component_aggregator!H:H,MATCH(F80,Initial_Component_aggregator!B:B))),D80,INDEX(Initial_Component_aggregator!I:I,MATCH(J80,Initial_Component_aggregator!H:H))))</f>
        <v xml:space="preserve"> </v>
      </c>
      <c r="L80" t="str" cm="1">
        <f t="array" ref="L80">IF(F80=0," ",IF(ISBLANK(INDEX(Initial_Component_aggregator!H:H,MATCH(F80,Initial_Component_aggregator!B:B))),E80,INDEX(Initial_Component_aggregator!J:J,MATCH(J80,Initial_Component_aggregator!H:H))))</f>
        <v xml:space="preserve"> </v>
      </c>
      <c r="M80" t="str" cm="1">
        <f t="array" ref="M80">IF(F80=0," ",IF(ISBLANK(INDEX(Initial_Component_aggregator!H:H,MATCH(F80,Initial_Component_aggregator!B:B))),F80,INDEX(Initial_Component_aggregator!K:K,MATCH(J80,Initial_Component_aggregator!H:H))))</f>
        <v xml:space="preserve"> </v>
      </c>
    </row>
    <row r="81" spans="1:13" ht="36" customHeight="1">
      <c r="A81"/>
      <c r="B81"/>
      <c r="C81"/>
      <c r="D81"/>
      <c r="E81"/>
      <c r="F81"/>
      <c r="G81"/>
      <c r="H81" t="str">
        <f t="shared" si="1"/>
        <v xml:space="preserve"> </v>
      </c>
      <c r="I81" t="str" cm="1">
        <f t="array" ref="I81">IF(F81=0," ",IF(ISBLANK(INDEX(Initial_Component_aggregator!F:F,MATCH(F81,Initial_Component_aggregator!B:B,0))),"No change",INDEX(Initial_Component_aggregator!F:F,MATCH(F81,Initial_Component_aggregator!B:B,0))))</f>
        <v xml:space="preserve"> </v>
      </c>
      <c r="J81" t="str" cm="1">
        <f t="array" ref="J81">IF(F81=0," ",IF(ISBLANK(INDEX(Initial_Component_aggregator!H:H,MATCH(F81,Initial_Component_aggregator!B:B,0))),F81,INDEX(Initial_Component_aggregator!H:H,MATCH(F81,Initial_Component_aggregator!B:B,0))))</f>
        <v xml:space="preserve"> </v>
      </c>
      <c r="K81" t="str" cm="1">
        <f t="array" ref="K81">IF(F81=0," ",IF(ISBLANK(INDEX(Initial_Component_aggregator!H:H,MATCH(F81,Initial_Component_aggregator!B:B))),D81,INDEX(Initial_Component_aggregator!I:I,MATCH(J81,Initial_Component_aggregator!H:H))))</f>
        <v xml:space="preserve"> </v>
      </c>
      <c r="L81" t="str" cm="1">
        <f t="array" ref="L81">IF(F81=0," ",IF(ISBLANK(INDEX(Initial_Component_aggregator!H:H,MATCH(F81,Initial_Component_aggregator!B:B))),E81,INDEX(Initial_Component_aggregator!J:J,MATCH(J81,Initial_Component_aggregator!H:H))))</f>
        <v xml:space="preserve"> </v>
      </c>
      <c r="M81" t="str" cm="1">
        <f t="array" ref="M81">IF(F81=0," ",IF(ISBLANK(INDEX(Initial_Component_aggregator!H:H,MATCH(F81,Initial_Component_aggregator!B:B))),F81,INDEX(Initial_Component_aggregator!K:K,MATCH(J81,Initial_Component_aggregator!H:H))))</f>
        <v xml:space="preserve"> </v>
      </c>
    </row>
    <row r="82" spans="1:13" ht="36" customHeight="1">
      <c r="A82"/>
      <c r="B82"/>
      <c r="C82"/>
      <c r="D82"/>
      <c r="E82"/>
      <c r="F82"/>
      <c r="G82"/>
      <c r="H82" t="str">
        <f t="shared" si="1"/>
        <v xml:space="preserve"> </v>
      </c>
      <c r="I82" t="str" cm="1">
        <f t="array" ref="I82">IF(F82=0," ",IF(ISBLANK(INDEX(Initial_Component_aggregator!F:F,MATCH(F82,Initial_Component_aggregator!B:B,0))),"No change",INDEX(Initial_Component_aggregator!F:F,MATCH(F82,Initial_Component_aggregator!B:B,0))))</f>
        <v xml:space="preserve"> </v>
      </c>
      <c r="J82" t="str" cm="1">
        <f t="array" ref="J82">IF(F82=0," ",IF(ISBLANK(INDEX(Initial_Component_aggregator!H:H,MATCH(F82,Initial_Component_aggregator!B:B,0))),F82,INDEX(Initial_Component_aggregator!H:H,MATCH(F82,Initial_Component_aggregator!B:B,0))))</f>
        <v xml:space="preserve"> </v>
      </c>
      <c r="K82" t="str" cm="1">
        <f t="array" ref="K82">IF(F82=0," ",IF(ISBLANK(INDEX(Initial_Component_aggregator!H:H,MATCH(F82,Initial_Component_aggregator!B:B))),D82,INDEX(Initial_Component_aggregator!I:I,MATCH(J82,Initial_Component_aggregator!H:H))))</f>
        <v xml:space="preserve"> </v>
      </c>
      <c r="L82" t="str" cm="1">
        <f t="array" ref="L82">IF(F82=0," ",IF(ISBLANK(INDEX(Initial_Component_aggregator!H:H,MATCH(F82,Initial_Component_aggregator!B:B))),E82,INDEX(Initial_Component_aggregator!J:J,MATCH(J82,Initial_Component_aggregator!H:H))))</f>
        <v xml:space="preserve"> </v>
      </c>
      <c r="M82" t="str" cm="1">
        <f t="array" ref="M82">IF(F82=0," ",IF(ISBLANK(INDEX(Initial_Component_aggregator!H:H,MATCH(F82,Initial_Component_aggregator!B:B))),F82,INDEX(Initial_Component_aggregator!K:K,MATCH(J82,Initial_Component_aggregator!H:H))))</f>
        <v xml:space="preserve"> </v>
      </c>
    </row>
    <row r="83" spans="1:13" ht="36" customHeight="1">
      <c r="A83"/>
      <c r="B83"/>
      <c r="C83"/>
      <c r="D83"/>
      <c r="E83"/>
      <c r="F83"/>
      <c r="G83"/>
      <c r="H83" t="str">
        <f t="shared" si="1"/>
        <v xml:space="preserve"> </v>
      </c>
      <c r="I83" t="str" cm="1">
        <f t="array" ref="I83">IF(F83=0," ",IF(ISBLANK(INDEX(Initial_Component_aggregator!F:F,MATCH(F83,Initial_Component_aggregator!B:B,0))),"No change",INDEX(Initial_Component_aggregator!F:F,MATCH(F83,Initial_Component_aggregator!B:B,0))))</f>
        <v xml:space="preserve"> </v>
      </c>
      <c r="J83" t="str" cm="1">
        <f t="array" ref="J83">IF(F83=0," ",IF(ISBLANK(INDEX(Initial_Component_aggregator!H:H,MATCH(F83,Initial_Component_aggregator!B:B,0))),F83,INDEX(Initial_Component_aggregator!H:H,MATCH(F83,Initial_Component_aggregator!B:B,0))))</f>
        <v xml:space="preserve"> </v>
      </c>
      <c r="K83" t="str" cm="1">
        <f t="array" ref="K83">IF(F83=0," ",IF(ISBLANK(INDEX(Initial_Component_aggregator!H:H,MATCH(F83,Initial_Component_aggregator!B:B))),D83,INDEX(Initial_Component_aggregator!I:I,MATCH(J83,Initial_Component_aggregator!H:H))))</f>
        <v xml:space="preserve"> </v>
      </c>
      <c r="L83" t="str" cm="1">
        <f t="array" ref="L83">IF(F83=0," ",IF(ISBLANK(INDEX(Initial_Component_aggregator!H:H,MATCH(F83,Initial_Component_aggregator!B:B))),E83,INDEX(Initial_Component_aggregator!J:J,MATCH(J83,Initial_Component_aggregator!H:H))))</f>
        <v xml:space="preserve"> </v>
      </c>
      <c r="M83" t="str" cm="1">
        <f t="array" ref="M83">IF(F83=0," ",IF(ISBLANK(INDEX(Initial_Component_aggregator!H:H,MATCH(F83,Initial_Component_aggregator!B:B))),F83,INDEX(Initial_Component_aggregator!K:K,MATCH(J83,Initial_Component_aggregator!H:H))))</f>
        <v xml:space="preserve"> </v>
      </c>
    </row>
    <row r="84" spans="1:13" ht="36" customHeight="1">
      <c r="A84"/>
      <c r="B84"/>
      <c r="C84"/>
      <c r="D84"/>
      <c r="E84"/>
      <c r="F84"/>
      <c r="G84"/>
      <c r="H84" t="str">
        <f t="shared" si="1"/>
        <v xml:space="preserve"> </v>
      </c>
      <c r="I84" t="str" cm="1">
        <f t="array" ref="I84">IF(F84=0," ",IF(ISBLANK(INDEX(Initial_Component_aggregator!F:F,MATCH(F84,Initial_Component_aggregator!B:B,0))),"No change",INDEX(Initial_Component_aggregator!F:F,MATCH(F84,Initial_Component_aggregator!B:B,0))))</f>
        <v xml:space="preserve"> </v>
      </c>
      <c r="J84" t="str" cm="1">
        <f t="array" ref="J84">IF(F84=0," ",IF(ISBLANK(INDEX(Initial_Component_aggregator!H:H,MATCH(F84,Initial_Component_aggregator!B:B,0))),F84,INDEX(Initial_Component_aggregator!H:H,MATCH(F84,Initial_Component_aggregator!B:B,0))))</f>
        <v xml:space="preserve"> </v>
      </c>
      <c r="K84" t="str" cm="1">
        <f t="array" ref="K84">IF(F84=0," ",IF(ISBLANK(INDEX(Initial_Component_aggregator!H:H,MATCH(F84,Initial_Component_aggregator!B:B))),D84,INDEX(Initial_Component_aggregator!I:I,MATCH(J84,Initial_Component_aggregator!H:H))))</f>
        <v xml:space="preserve"> </v>
      </c>
      <c r="L84" t="str" cm="1">
        <f t="array" ref="L84">IF(F84=0," ",IF(ISBLANK(INDEX(Initial_Component_aggregator!H:H,MATCH(F84,Initial_Component_aggregator!B:B))),E84,INDEX(Initial_Component_aggregator!J:J,MATCH(J84,Initial_Component_aggregator!H:H))))</f>
        <v xml:space="preserve"> </v>
      </c>
      <c r="M84" t="str" cm="1">
        <f t="array" ref="M84">IF(F84=0," ",IF(ISBLANK(INDEX(Initial_Component_aggregator!H:H,MATCH(F84,Initial_Component_aggregator!B:B))),F84,INDEX(Initial_Component_aggregator!K:K,MATCH(J84,Initial_Component_aggregator!H:H))))</f>
        <v xml:space="preserve"> </v>
      </c>
    </row>
    <row r="85" spans="1:13" ht="36" customHeight="1">
      <c r="A85"/>
      <c r="B85"/>
      <c r="C85"/>
      <c r="D85"/>
      <c r="E85"/>
      <c r="F85"/>
      <c r="G85"/>
      <c r="H85" t="str">
        <f t="shared" si="1"/>
        <v xml:space="preserve"> </v>
      </c>
      <c r="I85" t="str" cm="1">
        <f t="array" ref="I85">IF(F85=0," ",IF(ISBLANK(INDEX(Initial_Component_aggregator!F:F,MATCH(F85,Initial_Component_aggregator!B:B,0))),"No change",INDEX(Initial_Component_aggregator!F:F,MATCH(F85,Initial_Component_aggregator!B:B,0))))</f>
        <v xml:space="preserve"> </v>
      </c>
      <c r="J85" t="str" cm="1">
        <f t="array" ref="J85">IF(F85=0," ",IF(ISBLANK(INDEX(Initial_Component_aggregator!H:H,MATCH(F85,Initial_Component_aggregator!B:B,0))),F85,INDEX(Initial_Component_aggregator!H:H,MATCH(F85,Initial_Component_aggregator!B:B,0))))</f>
        <v xml:space="preserve"> </v>
      </c>
      <c r="K85" t="str" cm="1">
        <f t="array" ref="K85">IF(F85=0," ",IF(ISBLANK(INDEX(Initial_Component_aggregator!H:H,MATCH(F85,Initial_Component_aggregator!B:B))),D85,INDEX(Initial_Component_aggregator!I:I,MATCH(J85,Initial_Component_aggregator!H:H))))</f>
        <v xml:space="preserve"> </v>
      </c>
      <c r="L85" t="str" cm="1">
        <f t="array" ref="L85">IF(F85=0," ",IF(ISBLANK(INDEX(Initial_Component_aggregator!H:H,MATCH(F85,Initial_Component_aggregator!B:B))),E85,INDEX(Initial_Component_aggregator!J:J,MATCH(J85,Initial_Component_aggregator!H:H))))</f>
        <v xml:space="preserve"> </v>
      </c>
      <c r="M85" t="str" cm="1">
        <f t="array" ref="M85">IF(F85=0," ",IF(ISBLANK(INDEX(Initial_Component_aggregator!H:H,MATCH(F85,Initial_Component_aggregator!B:B))),F85,INDEX(Initial_Component_aggregator!K:K,MATCH(J85,Initial_Component_aggregator!H:H))))</f>
        <v xml:space="preserve"> </v>
      </c>
    </row>
    <row r="86" spans="1:13" ht="36" customHeight="1">
      <c r="A86"/>
      <c r="B86"/>
      <c r="C86"/>
      <c r="D86"/>
      <c r="E86"/>
      <c r="F86"/>
      <c r="G86"/>
      <c r="H86" t="str">
        <f t="shared" si="1"/>
        <v xml:space="preserve"> </v>
      </c>
      <c r="I86" t="str" cm="1">
        <f t="array" ref="I86">IF(F86=0," ",IF(ISBLANK(INDEX(Initial_Component_aggregator!F:F,MATCH(F86,Initial_Component_aggregator!B:B,0))),"No change",INDEX(Initial_Component_aggregator!F:F,MATCH(F86,Initial_Component_aggregator!B:B,0))))</f>
        <v xml:space="preserve"> </v>
      </c>
      <c r="J86" t="str" cm="1">
        <f t="array" ref="J86">IF(F86=0," ",IF(ISBLANK(INDEX(Initial_Component_aggregator!H:H,MATCH(F86,Initial_Component_aggregator!B:B,0))),F86,INDEX(Initial_Component_aggregator!H:H,MATCH(F86,Initial_Component_aggregator!B:B,0))))</f>
        <v xml:space="preserve"> </v>
      </c>
      <c r="K86" t="str" cm="1">
        <f t="array" ref="K86">IF(F86=0," ",IF(ISBLANK(INDEX(Initial_Component_aggregator!H:H,MATCH(F86,Initial_Component_aggregator!B:B))),D86,INDEX(Initial_Component_aggregator!I:I,MATCH(J86,Initial_Component_aggregator!H:H))))</f>
        <v xml:space="preserve"> </v>
      </c>
      <c r="L86" t="str" cm="1">
        <f t="array" ref="L86">IF(F86=0," ",IF(ISBLANK(INDEX(Initial_Component_aggregator!H:H,MATCH(F86,Initial_Component_aggregator!B:B))),E86,INDEX(Initial_Component_aggregator!J:J,MATCH(J86,Initial_Component_aggregator!H:H))))</f>
        <v xml:space="preserve"> </v>
      </c>
      <c r="M86" t="str" cm="1">
        <f t="array" ref="M86">IF(F86=0," ",IF(ISBLANK(INDEX(Initial_Component_aggregator!H:H,MATCH(F86,Initial_Component_aggregator!B:B))),F86,INDEX(Initial_Component_aggregator!K:K,MATCH(J86,Initial_Component_aggregator!H:H))))</f>
        <v xml:space="preserve"> </v>
      </c>
    </row>
    <row r="87" spans="1:13" ht="36" customHeight="1">
      <c r="A87"/>
      <c r="B87"/>
      <c r="C87"/>
      <c r="D87"/>
      <c r="E87"/>
      <c r="F87"/>
      <c r="G87"/>
      <c r="H87" t="str">
        <f t="shared" si="1"/>
        <v xml:space="preserve"> </v>
      </c>
      <c r="I87" t="str" cm="1">
        <f t="array" ref="I87">IF(F87=0," ",IF(ISBLANK(INDEX(Initial_Component_aggregator!F:F,MATCH(F87,Initial_Component_aggregator!B:B,0))),"No change",INDEX(Initial_Component_aggregator!F:F,MATCH(F87,Initial_Component_aggregator!B:B,0))))</f>
        <v xml:space="preserve"> </v>
      </c>
      <c r="J87" t="str" cm="1">
        <f t="array" ref="J87">IF(F87=0," ",IF(ISBLANK(INDEX(Initial_Component_aggregator!H:H,MATCH(F87,Initial_Component_aggregator!B:B,0))),F87,INDEX(Initial_Component_aggregator!H:H,MATCH(F87,Initial_Component_aggregator!B:B,0))))</f>
        <v xml:space="preserve"> </v>
      </c>
      <c r="K87" t="str" cm="1">
        <f t="array" ref="K87">IF(F87=0," ",IF(ISBLANK(INDEX(Initial_Component_aggregator!H:H,MATCH(F87,Initial_Component_aggregator!B:B))),D87,INDEX(Initial_Component_aggregator!I:I,MATCH(J87,Initial_Component_aggregator!H:H))))</f>
        <v xml:space="preserve"> </v>
      </c>
      <c r="L87" t="str" cm="1">
        <f t="array" ref="L87">IF(F87=0," ",IF(ISBLANK(INDEX(Initial_Component_aggregator!H:H,MATCH(F87,Initial_Component_aggregator!B:B))),E87,INDEX(Initial_Component_aggregator!J:J,MATCH(J87,Initial_Component_aggregator!H:H))))</f>
        <v xml:space="preserve"> </v>
      </c>
      <c r="M87" t="str" cm="1">
        <f t="array" ref="M87">IF(F87=0," ",IF(ISBLANK(INDEX(Initial_Component_aggregator!H:H,MATCH(F87,Initial_Component_aggregator!B:B))),F87,INDEX(Initial_Component_aggregator!K:K,MATCH(J87,Initial_Component_aggregator!H:H))))</f>
        <v xml:space="preserve"> </v>
      </c>
    </row>
    <row r="88" spans="1:13" ht="36" customHeight="1">
      <c r="A88"/>
      <c r="B88"/>
      <c r="C88"/>
      <c r="D88"/>
      <c r="E88"/>
      <c r="F88"/>
      <c r="G88"/>
      <c r="H88" t="str">
        <f t="shared" si="1"/>
        <v xml:space="preserve"> </v>
      </c>
      <c r="I88" t="str" cm="1">
        <f t="array" ref="I88">IF(F88=0," ",IF(ISBLANK(INDEX(Initial_Component_aggregator!F:F,MATCH(F88,Initial_Component_aggregator!B:B,0))),"No change",INDEX(Initial_Component_aggregator!F:F,MATCH(F88,Initial_Component_aggregator!B:B,0))))</f>
        <v xml:space="preserve"> </v>
      </c>
      <c r="J88" t="str" cm="1">
        <f t="array" ref="J88">IF(F88=0," ",IF(ISBLANK(INDEX(Initial_Component_aggregator!H:H,MATCH(F88,Initial_Component_aggregator!B:B,0))),F88,INDEX(Initial_Component_aggregator!H:H,MATCH(F88,Initial_Component_aggregator!B:B,0))))</f>
        <v xml:space="preserve"> </v>
      </c>
      <c r="K88" t="str" cm="1">
        <f t="array" ref="K88">IF(F88=0," ",IF(ISBLANK(INDEX(Initial_Component_aggregator!H:H,MATCH(F88,Initial_Component_aggregator!B:B))),D88,INDEX(Initial_Component_aggregator!I:I,MATCH(J88,Initial_Component_aggregator!H:H))))</f>
        <v xml:space="preserve"> </v>
      </c>
      <c r="L88" t="str" cm="1">
        <f t="array" ref="L88">IF(F88=0," ",IF(ISBLANK(INDEX(Initial_Component_aggregator!H:H,MATCH(F88,Initial_Component_aggregator!B:B))),E88,INDEX(Initial_Component_aggregator!J:J,MATCH(J88,Initial_Component_aggregator!H:H))))</f>
        <v xml:space="preserve"> </v>
      </c>
      <c r="M88" t="str" cm="1">
        <f t="array" ref="M88">IF(F88=0," ",IF(ISBLANK(INDEX(Initial_Component_aggregator!H:H,MATCH(F88,Initial_Component_aggregator!B:B))),F88,INDEX(Initial_Component_aggregator!K:K,MATCH(J88,Initial_Component_aggregator!H:H))))</f>
        <v xml:space="preserve"> </v>
      </c>
    </row>
    <row r="89" spans="1:13" ht="36" customHeight="1">
      <c r="A89"/>
      <c r="B89"/>
      <c r="C89"/>
      <c r="D89"/>
      <c r="E89"/>
      <c r="F89"/>
      <c r="G89"/>
      <c r="H89" t="str">
        <f t="shared" si="1"/>
        <v xml:space="preserve"> </v>
      </c>
      <c r="I89" t="str" cm="1">
        <f t="array" ref="I89">IF(F89=0," ",IF(ISBLANK(INDEX(Initial_Component_aggregator!F:F,MATCH(F89,Initial_Component_aggregator!B:B,0))),"No change",INDEX(Initial_Component_aggregator!F:F,MATCH(F89,Initial_Component_aggregator!B:B,0))))</f>
        <v xml:space="preserve"> </v>
      </c>
      <c r="J89" t="str" cm="1">
        <f t="array" ref="J89">IF(F89=0," ",IF(ISBLANK(INDEX(Initial_Component_aggregator!H:H,MATCH(F89,Initial_Component_aggregator!B:B,0))),F89,INDEX(Initial_Component_aggregator!H:H,MATCH(F89,Initial_Component_aggregator!B:B,0))))</f>
        <v xml:space="preserve"> </v>
      </c>
      <c r="K89" t="str" cm="1">
        <f t="array" ref="K89">IF(F89=0," ",IF(ISBLANK(INDEX(Initial_Component_aggregator!H:H,MATCH(F89,Initial_Component_aggregator!B:B))),D89,INDEX(Initial_Component_aggregator!I:I,MATCH(J89,Initial_Component_aggregator!H:H))))</f>
        <v xml:space="preserve"> </v>
      </c>
      <c r="L89" t="str" cm="1">
        <f t="array" ref="L89">IF(F89=0," ",IF(ISBLANK(INDEX(Initial_Component_aggregator!H:H,MATCH(F89,Initial_Component_aggregator!B:B))),E89,INDEX(Initial_Component_aggregator!J:J,MATCH(J89,Initial_Component_aggregator!H:H))))</f>
        <v xml:space="preserve"> </v>
      </c>
      <c r="M89" t="str" cm="1">
        <f t="array" ref="M89">IF(F89=0," ",IF(ISBLANK(INDEX(Initial_Component_aggregator!H:H,MATCH(F89,Initial_Component_aggregator!B:B))),F89,INDEX(Initial_Component_aggregator!K:K,MATCH(J89,Initial_Component_aggregator!H:H))))</f>
        <v xml:space="preserve"> </v>
      </c>
    </row>
    <row r="90" spans="1:13" ht="36" customHeight="1">
      <c r="A90"/>
      <c r="B90"/>
      <c r="C90"/>
      <c r="D90"/>
      <c r="E90"/>
      <c r="F90"/>
      <c r="G90"/>
      <c r="H90" t="str">
        <f t="shared" si="1"/>
        <v xml:space="preserve"> </v>
      </c>
      <c r="I90" t="str" cm="1">
        <f t="array" ref="I90">IF(F90=0," ",IF(ISBLANK(INDEX(Initial_Component_aggregator!F:F,MATCH(F90,Initial_Component_aggregator!B:B,0))),"No change",INDEX(Initial_Component_aggregator!F:F,MATCH(F90,Initial_Component_aggregator!B:B,0))))</f>
        <v xml:space="preserve"> </v>
      </c>
      <c r="J90" t="str" cm="1">
        <f t="array" ref="J90">IF(F90=0," ",IF(ISBLANK(INDEX(Initial_Component_aggregator!H:H,MATCH(F90,Initial_Component_aggregator!B:B,0))),F90,INDEX(Initial_Component_aggregator!H:H,MATCH(F90,Initial_Component_aggregator!B:B,0))))</f>
        <v xml:space="preserve"> </v>
      </c>
      <c r="K90" t="str" cm="1">
        <f t="array" ref="K90">IF(F90=0," ",IF(ISBLANK(INDEX(Initial_Component_aggregator!H:H,MATCH(F90,Initial_Component_aggregator!B:B))),D90,INDEX(Initial_Component_aggregator!I:I,MATCH(J90,Initial_Component_aggregator!H:H))))</f>
        <v xml:space="preserve"> </v>
      </c>
      <c r="L90" t="str" cm="1">
        <f t="array" ref="L90">IF(F90=0," ",IF(ISBLANK(INDEX(Initial_Component_aggregator!H:H,MATCH(F90,Initial_Component_aggregator!B:B))),E90,INDEX(Initial_Component_aggregator!J:J,MATCH(J90,Initial_Component_aggregator!H:H))))</f>
        <v xml:space="preserve"> </v>
      </c>
      <c r="M90" t="str" cm="1">
        <f t="array" ref="M90">IF(F90=0," ",IF(ISBLANK(INDEX(Initial_Component_aggregator!H:H,MATCH(F90,Initial_Component_aggregator!B:B))),F90,INDEX(Initial_Component_aggregator!K:K,MATCH(J90,Initial_Component_aggregator!H:H))))</f>
        <v xml:space="preserve"> </v>
      </c>
    </row>
    <row r="91" spans="1:13" ht="36" customHeight="1">
      <c r="A91"/>
      <c r="B91"/>
      <c r="C91"/>
      <c r="D91"/>
      <c r="E91"/>
      <c r="F91"/>
      <c r="G91"/>
      <c r="H91" t="str">
        <f t="shared" si="1"/>
        <v xml:space="preserve"> </v>
      </c>
      <c r="I91" t="str" cm="1">
        <f t="array" ref="I91">IF(F91=0," ",IF(ISBLANK(INDEX(Initial_Component_aggregator!F:F,MATCH(F91,Initial_Component_aggregator!B:B,0))),"No change",INDEX(Initial_Component_aggregator!F:F,MATCH(F91,Initial_Component_aggregator!B:B,0))))</f>
        <v xml:space="preserve"> </v>
      </c>
      <c r="J91" t="str" cm="1">
        <f t="array" ref="J91">IF(F91=0," ",IF(ISBLANK(INDEX(Initial_Component_aggregator!H:H,MATCH(F91,Initial_Component_aggregator!B:B,0))),F91,INDEX(Initial_Component_aggregator!H:H,MATCH(F91,Initial_Component_aggregator!B:B,0))))</f>
        <v xml:space="preserve"> </v>
      </c>
      <c r="K91" t="str" cm="1">
        <f t="array" ref="K91">IF(F91=0," ",IF(ISBLANK(INDEX(Initial_Component_aggregator!H:H,MATCH(F91,Initial_Component_aggregator!B:B))),D91,INDEX(Initial_Component_aggregator!I:I,MATCH(J91,Initial_Component_aggregator!H:H))))</f>
        <v xml:space="preserve"> </v>
      </c>
      <c r="L91" t="str" cm="1">
        <f t="array" ref="L91">IF(F91=0," ",IF(ISBLANK(INDEX(Initial_Component_aggregator!H:H,MATCH(F91,Initial_Component_aggregator!B:B))),E91,INDEX(Initial_Component_aggregator!J:J,MATCH(J91,Initial_Component_aggregator!H:H))))</f>
        <v xml:space="preserve"> </v>
      </c>
      <c r="M91" t="str" cm="1">
        <f t="array" ref="M91">IF(F91=0," ",IF(ISBLANK(INDEX(Initial_Component_aggregator!H:H,MATCH(F91,Initial_Component_aggregator!B:B))),F91,INDEX(Initial_Component_aggregator!K:K,MATCH(J91,Initial_Component_aggregator!H:H))))</f>
        <v xml:space="preserve"> </v>
      </c>
    </row>
    <row r="92" spans="1:13" ht="36" customHeight="1">
      <c r="A92"/>
      <c r="B92"/>
      <c r="C92"/>
      <c r="D92"/>
      <c r="E92"/>
      <c r="F92"/>
      <c r="G92"/>
      <c r="H92" t="str">
        <f t="shared" si="1"/>
        <v xml:space="preserve"> </v>
      </c>
      <c r="I92" t="str" cm="1">
        <f t="array" ref="I92">IF(F92=0," ",IF(ISBLANK(INDEX(Initial_Component_aggregator!F:F,MATCH(F92,Initial_Component_aggregator!B:B,0))),"No change",INDEX(Initial_Component_aggregator!F:F,MATCH(F92,Initial_Component_aggregator!B:B,0))))</f>
        <v xml:space="preserve"> </v>
      </c>
      <c r="J92" t="str" cm="1">
        <f t="array" ref="J92">IF(F92=0," ",IF(ISBLANK(INDEX(Initial_Component_aggregator!H:H,MATCH(F92,Initial_Component_aggregator!B:B,0))),F92,INDEX(Initial_Component_aggregator!H:H,MATCH(F92,Initial_Component_aggregator!B:B,0))))</f>
        <v xml:space="preserve"> </v>
      </c>
      <c r="K92" t="str" cm="1">
        <f t="array" ref="K92">IF(F92=0," ",IF(ISBLANK(INDEX(Initial_Component_aggregator!H:H,MATCH(F92,Initial_Component_aggregator!B:B))),D92,INDEX(Initial_Component_aggregator!I:I,MATCH(J92,Initial_Component_aggregator!H:H))))</f>
        <v xml:space="preserve"> </v>
      </c>
      <c r="L92" t="str" cm="1">
        <f t="array" ref="L92">IF(F92=0," ",IF(ISBLANK(INDEX(Initial_Component_aggregator!H:H,MATCH(F92,Initial_Component_aggregator!B:B))),E92,INDEX(Initial_Component_aggregator!J:J,MATCH(J92,Initial_Component_aggregator!H:H))))</f>
        <v xml:space="preserve"> </v>
      </c>
      <c r="M92" t="str" cm="1">
        <f t="array" ref="M92">IF(F92=0," ",IF(ISBLANK(INDEX(Initial_Component_aggregator!H:H,MATCH(F92,Initial_Component_aggregator!B:B))),F92,INDEX(Initial_Component_aggregator!K:K,MATCH(J92,Initial_Component_aggregator!H:H))))</f>
        <v xml:space="preserve"> </v>
      </c>
    </row>
    <row r="93" spans="1:13" ht="36" customHeight="1">
      <c r="A93"/>
      <c r="B93"/>
      <c r="C93"/>
      <c r="D93"/>
      <c r="E93"/>
      <c r="F93"/>
      <c r="G93"/>
      <c r="H93" t="str">
        <f t="shared" si="1"/>
        <v xml:space="preserve"> </v>
      </c>
      <c r="I93" t="str" cm="1">
        <f t="array" ref="I93">IF(F93=0," ",IF(ISBLANK(INDEX(Initial_Component_aggregator!F:F,MATCH(F93,Initial_Component_aggregator!B:B,0))),"No change",INDEX(Initial_Component_aggregator!F:F,MATCH(F93,Initial_Component_aggregator!B:B,0))))</f>
        <v xml:space="preserve"> </v>
      </c>
      <c r="J93" t="str" cm="1">
        <f t="array" ref="J93">IF(F93=0," ",IF(ISBLANK(INDEX(Initial_Component_aggregator!H:H,MATCH(F93,Initial_Component_aggregator!B:B,0))),F93,INDEX(Initial_Component_aggregator!H:H,MATCH(F93,Initial_Component_aggregator!B:B,0))))</f>
        <v xml:space="preserve"> </v>
      </c>
      <c r="K93" t="str" cm="1">
        <f t="array" ref="K93">IF(F93=0," ",IF(ISBLANK(INDEX(Initial_Component_aggregator!H:H,MATCH(F93,Initial_Component_aggregator!B:B))),D93,INDEX(Initial_Component_aggregator!I:I,MATCH(J93,Initial_Component_aggregator!H:H))))</f>
        <v xml:space="preserve"> </v>
      </c>
      <c r="L93" t="str" cm="1">
        <f t="array" ref="L93">IF(F93=0," ",IF(ISBLANK(INDEX(Initial_Component_aggregator!H:H,MATCH(F93,Initial_Component_aggregator!B:B))),E93,INDEX(Initial_Component_aggregator!J:J,MATCH(J93,Initial_Component_aggregator!H:H))))</f>
        <v xml:space="preserve"> </v>
      </c>
      <c r="M93" t="str" cm="1">
        <f t="array" ref="M93">IF(F93=0," ",IF(ISBLANK(INDEX(Initial_Component_aggregator!H:H,MATCH(F93,Initial_Component_aggregator!B:B))),F93,INDEX(Initial_Component_aggregator!K:K,MATCH(J93,Initial_Component_aggregator!H:H))))</f>
        <v xml:space="preserve"> </v>
      </c>
    </row>
    <row r="94" spans="1:13" ht="36" customHeight="1">
      <c r="A94"/>
      <c r="B94"/>
      <c r="C94"/>
      <c r="D94"/>
      <c r="E94"/>
      <c r="F94"/>
      <c r="G94"/>
      <c r="H94" t="str">
        <f t="shared" si="1"/>
        <v xml:space="preserve"> </v>
      </c>
      <c r="I94" t="str" cm="1">
        <f t="array" ref="I94">IF(F94=0," ",IF(ISBLANK(INDEX(Initial_Component_aggregator!F:F,MATCH(F94,Initial_Component_aggregator!B:B,0))),"No change",INDEX(Initial_Component_aggregator!F:F,MATCH(F94,Initial_Component_aggregator!B:B,0))))</f>
        <v xml:space="preserve"> </v>
      </c>
      <c r="J94" t="str" cm="1">
        <f t="array" ref="J94">IF(F94=0," ",IF(ISBLANK(INDEX(Initial_Component_aggregator!H:H,MATCH(F94,Initial_Component_aggregator!B:B,0))),F94,INDEX(Initial_Component_aggregator!H:H,MATCH(F94,Initial_Component_aggregator!B:B,0))))</f>
        <v xml:space="preserve"> </v>
      </c>
      <c r="K94" t="str" cm="1">
        <f t="array" ref="K94">IF(F94=0," ",IF(ISBLANK(INDEX(Initial_Component_aggregator!H:H,MATCH(F94,Initial_Component_aggregator!B:B))),D94,INDEX(Initial_Component_aggregator!I:I,MATCH(J94,Initial_Component_aggregator!H:H))))</f>
        <v xml:space="preserve"> </v>
      </c>
      <c r="L94" t="str" cm="1">
        <f t="array" ref="L94">IF(F94=0," ",IF(ISBLANK(INDEX(Initial_Component_aggregator!H:H,MATCH(F94,Initial_Component_aggregator!B:B))),E94,INDEX(Initial_Component_aggregator!J:J,MATCH(J94,Initial_Component_aggregator!H:H))))</f>
        <v xml:space="preserve"> </v>
      </c>
      <c r="M94" t="str" cm="1">
        <f t="array" ref="M94">IF(F94=0," ",IF(ISBLANK(INDEX(Initial_Component_aggregator!H:H,MATCH(F94,Initial_Component_aggregator!B:B))),F94,INDEX(Initial_Component_aggregator!K:K,MATCH(J94,Initial_Component_aggregator!H:H))))</f>
        <v xml:space="preserve"> </v>
      </c>
    </row>
    <row r="95" spans="1:13" ht="36" customHeight="1">
      <c r="A95"/>
      <c r="B95"/>
      <c r="C95"/>
      <c r="D95"/>
      <c r="E95"/>
      <c r="F95"/>
      <c r="G95"/>
      <c r="H95" t="str">
        <f t="shared" si="1"/>
        <v xml:space="preserve"> </v>
      </c>
      <c r="I95" t="str" cm="1">
        <f t="array" ref="I95">IF(F95=0," ",IF(ISBLANK(INDEX(Initial_Component_aggregator!F:F,MATCH(F95,Initial_Component_aggregator!B:B,0))),"No change",INDEX(Initial_Component_aggregator!F:F,MATCH(F95,Initial_Component_aggregator!B:B,0))))</f>
        <v xml:space="preserve"> </v>
      </c>
      <c r="J95" t="str" cm="1">
        <f t="array" ref="J95">IF(F95=0," ",IF(ISBLANK(INDEX(Initial_Component_aggregator!H:H,MATCH(F95,Initial_Component_aggregator!B:B,0))),F95,INDEX(Initial_Component_aggregator!H:H,MATCH(F95,Initial_Component_aggregator!B:B,0))))</f>
        <v xml:space="preserve"> </v>
      </c>
      <c r="K95" t="str" cm="1">
        <f t="array" ref="K95">IF(F95=0," ",IF(ISBLANK(INDEX(Initial_Component_aggregator!H:H,MATCH(F95,Initial_Component_aggregator!B:B))),D95,INDEX(Initial_Component_aggregator!I:I,MATCH(J95,Initial_Component_aggregator!H:H))))</f>
        <v xml:space="preserve"> </v>
      </c>
      <c r="L95" t="str" cm="1">
        <f t="array" ref="L95">IF(F95=0," ",IF(ISBLANK(INDEX(Initial_Component_aggregator!H:H,MATCH(F95,Initial_Component_aggregator!B:B))),E95,INDEX(Initial_Component_aggregator!J:J,MATCH(J95,Initial_Component_aggregator!H:H))))</f>
        <v xml:space="preserve"> </v>
      </c>
      <c r="M95" t="str" cm="1">
        <f t="array" ref="M95">IF(F95=0," ",IF(ISBLANK(INDEX(Initial_Component_aggregator!H:H,MATCH(F95,Initial_Component_aggregator!B:B))),F95,INDEX(Initial_Component_aggregator!K:K,MATCH(J95,Initial_Component_aggregator!H:H))))</f>
        <v xml:space="preserve"> </v>
      </c>
    </row>
    <row r="96" spans="1:13" ht="36" customHeight="1">
      <c r="A96"/>
      <c r="B96"/>
      <c r="C96"/>
      <c r="D96"/>
      <c r="E96"/>
      <c r="F96"/>
      <c r="G96"/>
      <c r="H96" t="str">
        <f t="shared" si="1"/>
        <v xml:space="preserve"> </v>
      </c>
      <c r="I96" t="str" cm="1">
        <f t="array" ref="I96">IF(F96=0," ",IF(ISBLANK(INDEX(Initial_Component_aggregator!F:F,MATCH(F96,Initial_Component_aggregator!B:B,0))),"No change",INDEX(Initial_Component_aggregator!F:F,MATCH(F96,Initial_Component_aggregator!B:B,0))))</f>
        <v xml:space="preserve"> </v>
      </c>
      <c r="J96" t="str" cm="1">
        <f t="array" ref="J96">IF(F96=0," ",IF(ISBLANK(INDEX(Initial_Component_aggregator!H:H,MATCH(F96,Initial_Component_aggregator!B:B,0))),F96,INDEX(Initial_Component_aggregator!H:H,MATCH(F96,Initial_Component_aggregator!B:B,0))))</f>
        <v xml:space="preserve"> </v>
      </c>
      <c r="K96" t="str" cm="1">
        <f t="array" ref="K96">IF(F96=0," ",IF(ISBLANK(INDEX(Initial_Component_aggregator!H:H,MATCH(F96,Initial_Component_aggregator!B:B))),D96,INDEX(Initial_Component_aggregator!I:I,MATCH(J96,Initial_Component_aggregator!H:H))))</f>
        <v xml:space="preserve"> </v>
      </c>
      <c r="L96" t="str" cm="1">
        <f t="array" ref="L96">IF(F96=0," ",IF(ISBLANK(INDEX(Initial_Component_aggregator!H:H,MATCH(F96,Initial_Component_aggregator!B:B))),E96,INDEX(Initial_Component_aggregator!J:J,MATCH(J96,Initial_Component_aggregator!H:H))))</f>
        <v xml:space="preserve"> </v>
      </c>
      <c r="M96" t="str" cm="1">
        <f t="array" ref="M96">IF(F96=0," ",IF(ISBLANK(INDEX(Initial_Component_aggregator!H:H,MATCH(F96,Initial_Component_aggregator!B:B))),F96,INDEX(Initial_Component_aggregator!K:K,MATCH(J96,Initial_Component_aggregator!H:H))))</f>
        <v xml:space="preserve"> </v>
      </c>
    </row>
    <row r="97" spans="1:13" ht="36" customHeight="1">
      <c r="A97"/>
      <c r="B97"/>
      <c r="C97"/>
      <c r="D97"/>
      <c r="E97"/>
      <c r="F97"/>
      <c r="G97"/>
      <c r="H97" t="str">
        <f t="shared" si="1"/>
        <v xml:space="preserve"> </v>
      </c>
      <c r="I97" t="str" cm="1">
        <f t="array" ref="I97">IF(F97=0," ",IF(ISBLANK(INDEX(Initial_Component_aggregator!F:F,MATCH(F97,Initial_Component_aggregator!B:B,0))),"No change",INDEX(Initial_Component_aggregator!F:F,MATCH(F97,Initial_Component_aggregator!B:B,0))))</f>
        <v xml:space="preserve"> </v>
      </c>
      <c r="J97" t="str" cm="1">
        <f t="array" ref="J97">IF(F97=0," ",IF(ISBLANK(INDEX(Initial_Component_aggregator!H:H,MATCH(F97,Initial_Component_aggregator!B:B,0))),F97,INDEX(Initial_Component_aggregator!H:H,MATCH(F97,Initial_Component_aggregator!B:B,0))))</f>
        <v xml:space="preserve"> </v>
      </c>
      <c r="K97" t="str" cm="1">
        <f t="array" ref="K97">IF(F97=0," ",IF(ISBLANK(INDEX(Initial_Component_aggregator!H:H,MATCH(F97,Initial_Component_aggregator!B:B))),D97,INDEX(Initial_Component_aggregator!I:I,MATCH(J97,Initial_Component_aggregator!H:H))))</f>
        <v xml:space="preserve"> </v>
      </c>
      <c r="L97" t="str" cm="1">
        <f t="array" ref="L97">IF(F97=0," ",IF(ISBLANK(INDEX(Initial_Component_aggregator!H:H,MATCH(F97,Initial_Component_aggregator!B:B))),E97,INDEX(Initial_Component_aggregator!J:J,MATCH(J97,Initial_Component_aggregator!H:H))))</f>
        <v xml:space="preserve"> </v>
      </c>
      <c r="M97" t="str" cm="1">
        <f t="array" ref="M97">IF(F97=0," ",IF(ISBLANK(INDEX(Initial_Component_aggregator!H:H,MATCH(F97,Initial_Component_aggregator!B:B))),F97,INDEX(Initial_Component_aggregator!K:K,MATCH(J97,Initial_Component_aggregator!H:H))))</f>
        <v xml:space="preserve"> </v>
      </c>
    </row>
    <row r="98" spans="1:13" ht="36" customHeight="1">
      <c r="A98"/>
      <c r="B98"/>
      <c r="C98"/>
      <c r="D98"/>
      <c r="E98"/>
      <c r="F98"/>
      <c r="G98"/>
      <c r="H98" t="str">
        <f t="shared" si="1"/>
        <v xml:space="preserve"> </v>
      </c>
      <c r="I98" t="str" cm="1">
        <f t="array" ref="I98">IF(F98=0," ",IF(ISBLANK(INDEX(Initial_Component_aggregator!F:F,MATCH(F98,Initial_Component_aggregator!B:B,0))),"No change",INDEX(Initial_Component_aggregator!F:F,MATCH(F98,Initial_Component_aggregator!B:B,0))))</f>
        <v xml:space="preserve"> </v>
      </c>
      <c r="J98" t="str" cm="1">
        <f t="array" ref="J98">IF(F98=0," ",IF(ISBLANK(INDEX(Initial_Component_aggregator!H:H,MATCH(F98,Initial_Component_aggregator!B:B,0))),F98,INDEX(Initial_Component_aggregator!H:H,MATCH(F98,Initial_Component_aggregator!B:B,0))))</f>
        <v xml:space="preserve"> </v>
      </c>
      <c r="K98" t="str" cm="1">
        <f t="array" ref="K98">IF(F98=0," ",IF(ISBLANK(INDEX(Initial_Component_aggregator!H:H,MATCH(F98,Initial_Component_aggregator!B:B))),D98,INDEX(Initial_Component_aggregator!I:I,MATCH(J98,Initial_Component_aggregator!H:H))))</f>
        <v xml:space="preserve"> </v>
      </c>
      <c r="L98" t="str" cm="1">
        <f t="array" ref="L98">IF(F98=0," ",IF(ISBLANK(INDEX(Initial_Component_aggregator!H:H,MATCH(F98,Initial_Component_aggregator!B:B))),E98,INDEX(Initial_Component_aggregator!J:J,MATCH(J98,Initial_Component_aggregator!H:H))))</f>
        <v xml:space="preserve"> </v>
      </c>
      <c r="M98" t="str" cm="1">
        <f t="array" ref="M98">IF(F98=0," ",IF(ISBLANK(INDEX(Initial_Component_aggregator!H:H,MATCH(F98,Initial_Component_aggregator!B:B))),F98,INDEX(Initial_Component_aggregator!K:K,MATCH(J98,Initial_Component_aggregator!H:H))))</f>
        <v xml:space="preserve"> </v>
      </c>
    </row>
    <row r="99" spans="1:13" ht="36" customHeight="1">
      <c r="A99"/>
      <c r="B99"/>
      <c r="C99"/>
      <c r="D99"/>
      <c r="E99"/>
      <c r="F99"/>
      <c r="G99"/>
      <c r="H99" t="str">
        <f t="shared" si="1"/>
        <v xml:space="preserve"> </v>
      </c>
      <c r="I99" t="str" cm="1">
        <f t="array" ref="I99">IF(F99=0," ",IF(ISBLANK(INDEX(Initial_Component_aggregator!F:F,MATCH(F99,Initial_Component_aggregator!B:B,0))),"No change",INDEX(Initial_Component_aggregator!F:F,MATCH(F99,Initial_Component_aggregator!B:B,0))))</f>
        <v xml:space="preserve"> </v>
      </c>
      <c r="J99" t="str" cm="1">
        <f t="array" ref="J99">IF(F99=0," ",IF(ISBLANK(INDEX(Initial_Component_aggregator!H:H,MATCH(F99,Initial_Component_aggregator!B:B,0))),F99,INDEX(Initial_Component_aggregator!H:H,MATCH(F99,Initial_Component_aggregator!B:B,0))))</f>
        <v xml:space="preserve"> </v>
      </c>
      <c r="K99" t="str" cm="1">
        <f t="array" ref="K99">IF(F99=0," ",IF(ISBLANK(INDEX(Initial_Component_aggregator!H:H,MATCH(F99,Initial_Component_aggregator!B:B))),D99,INDEX(Initial_Component_aggregator!I:I,MATCH(J99,Initial_Component_aggregator!H:H))))</f>
        <v xml:space="preserve"> </v>
      </c>
      <c r="L99" t="str" cm="1">
        <f t="array" ref="L99">IF(F99=0," ",IF(ISBLANK(INDEX(Initial_Component_aggregator!H:H,MATCH(F99,Initial_Component_aggregator!B:B))),E99,INDEX(Initial_Component_aggregator!J:J,MATCH(J99,Initial_Component_aggregator!H:H))))</f>
        <v xml:space="preserve"> </v>
      </c>
      <c r="M99" t="str" cm="1">
        <f t="array" ref="M99">IF(F99=0," ",IF(ISBLANK(INDEX(Initial_Component_aggregator!H:H,MATCH(F99,Initial_Component_aggregator!B:B))),F99,INDEX(Initial_Component_aggregator!K:K,MATCH(J99,Initial_Component_aggregator!H:H))))</f>
        <v xml:space="preserve"> </v>
      </c>
    </row>
    <row r="100" spans="1:13" ht="36" customHeight="1">
      <c r="A100"/>
      <c r="B100"/>
      <c r="C100"/>
      <c r="D100"/>
      <c r="E100"/>
      <c r="F100"/>
      <c r="G100"/>
      <c r="H100" t="str">
        <f t="shared" si="1"/>
        <v xml:space="preserve"> </v>
      </c>
      <c r="I100" t="str" cm="1">
        <f t="array" ref="I100">IF(F100=0," ",IF(ISBLANK(INDEX(Initial_Component_aggregator!F:F,MATCH(F100,Initial_Component_aggregator!B:B,0))),"No change",INDEX(Initial_Component_aggregator!F:F,MATCH(F100,Initial_Component_aggregator!B:B,0))))</f>
        <v xml:space="preserve"> </v>
      </c>
      <c r="J100" t="str" cm="1">
        <f t="array" ref="J100">IF(F100=0," ",IF(ISBLANK(INDEX(Initial_Component_aggregator!H:H,MATCH(F100,Initial_Component_aggregator!B:B,0))),F100,INDEX(Initial_Component_aggregator!H:H,MATCH(F100,Initial_Component_aggregator!B:B,0))))</f>
        <v xml:space="preserve"> </v>
      </c>
      <c r="K100" t="str" cm="1">
        <f t="array" ref="K100">IF(F100=0," ",IF(ISBLANK(INDEX(Initial_Component_aggregator!H:H,MATCH(F100,Initial_Component_aggregator!B:B))),D100,INDEX(Initial_Component_aggregator!I:I,MATCH(J100,Initial_Component_aggregator!H:H))))</f>
        <v xml:space="preserve"> </v>
      </c>
      <c r="L100" t="str" cm="1">
        <f t="array" ref="L100">IF(F100=0," ",IF(ISBLANK(INDEX(Initial_Component_aggregator!H:H,MATCH(F100,Initial_Component_aggregator!B:B))),E100,INDEX(Initial_Component_aggregator!J:J,MATCH(J100,Initial_Component_aggregator!H:H))))</f>
        <v xml:space="preserve"> </v>
      </c>
      <c r="M100" t="str" cm="1">
        <f t="array" ref="M100">IF(F100=0," ",IF(ISBLANK(INDEX(Initial_Component_aggregator!H:H,MATCH(F100,Initial_Component_aggregator!B:B))),F100,INDEX(Initial_Component_aggregator!K:K,MATCH(J100,Initial_Component_aggregator!H:H))))</f>
        <v xml:space="preserve"> </v>
      </c>
    </row>
    <row r="101" spans="1:13" ht="36" customHeight="1">
      <c r="A101"/>
      <c r="B101"/>
      <c r="C101"/>
      <c r="D101"/>
      <c r="E101"/>
      <c r="F101"/>
      <c r="G101"/>
      <c r="H101" t="str">
        <f t="shared" si="1"/>
        <v xml:space="preserve"> </v>
      </c>
      <c r="I101" t="str" cm="1">
        <f t="array" ref="I101">IF(F101=0," ",IF(ISBLANK(INDEX(Initial_Component_aggregator!F:F,MATCH(F101,Initial_Component_aggregator!B:B,0))),"No change",INDEX(Initial_Component_aggregator!F:F,MATCH(F101,Initial_Component_aggregator!B:B,0))))</f>
        <v xml:space="preserve"> </v>
      </c>
      <c r="J101" t="str" cm="1">
        <f t="array" ref="J101">IF(F101=0," ",IF(ISBLANK(INDEX(Initial_Component_aggregator!H:H,MATCH(F101,Initial_Component_aggregator!B:B,0))),F101,INDEX(Initial_Component_aggregator!H:H,MATCH(F101,Initial_Component_aggregator!B:B,0))))</f>
        <v xml:space="preserve"> </v>
      </c>
      <c r="K101" t="str" cm="1">
        <f t="array" ref="K101">IF(F101=0," ",IF(ISBLANK(INDEX(Initial_Component_aggregator!H:H,MATCH(F101,Initial_Component_aggregator!B:B))),D101,INDEX(Initial_Component_aggregator!I:I,MATCH(J101,Initial_Component_aggregator!H:H))))</f>
        <v xml:space="preserve"> </v>
      </c>
      <c r="L101" t="str" cm="1">
        <f t="array" ref="L101">IF(F101=0," ",IF(ISBLANK(INDEX(Initial_Component_aggregator!H:H,MATCH(F101,Initial_Component_aggregator!B:B))),E101,INDEX(Initial_Component_aggregator!J:J,MATCH(J101,Initial_Component_aggregator!H:H))))</f>
        <v xml:space="preserve"> </v>
      </c>
      <c r="M101" t="str" cm="1">
        <f t="array" ref="M101">IF(F101=0," ",IF(ISBLANK(INDEX(Initial_Component_aggregator!H:H,MATCH(F101,Initial_Component_aggregator!B:B))),F101,INDEX(Initial_Component_aggregator!K:K,MATCH(J101,Initial_Component_aggregator!H:H))))</f>
        <v xml:space="preserve"> </v>
      </c>
    </row>
    <row r="102" spans="1:13" ht="36" customHeight="1">
      <c r="A102"/>
      <c r="B102"/>
      <c r="C102"/>
      <c r="D102"/>
      <c r="E102"/>
      <c r="F102"/>
      <c r="G102"/>
      <c r="H102" t="str">
        <f t="shared" si="1"/>
        <v xml:space="preserve"> </v>
      </c>
      <c r="I102" t="str" cm="1">
        <f t="array" ref="I102">IF(F102=0," ",IF(ISBLANK(INDEX(Initial_Component_aggregator!F:F,MATCH(F102,Initial_Component_aggregator!B:B,0))),"No change",INDEX(Initial_Component_aggregator!F:F,MATCH(F102,Initial_Component_aggregator!B:B,0))))</f>
        <v xml:space="preserve"> </v>
      </c>
      <c r="J102" t="str" cm="1">
        <f t="array" ref="J102">IF(F102=0," ",IF(ISBLANK(INDEX(Initial_Component_aggregator!H:H,MATCH(F102,Initial_Component_aggregator!B:B,0))),F102,INDEX(Initial_Component_aggregator!H:H,MATCH(F102,Initial_Component_aggregator!B:B,0))))</f>
        <v xml:space="preserve"> </v>
      </c>
      <c r="K102" t="str" cm="1">
        <f t="array" ref="K102">IF(F102=0," ",IF(ISBLANK(INDEX(Initial_Component_aggregator!H:H,MATCH(F102,Initial_Component_aggregator!B:B))),D102,INDEX(Initial_Component_aggregator!I:I,MATCH(J102,Initial_Component_aggregator!H:H))))</f>
        <v xml:space="preserve"> </v>
      </c>
      <c r="L102" t="str" cm="1">
        <f t="array" ref="L102">IF(F102=0," ",IF(ISBLANK(INDEX(Initial_Component_aggregator!H:H,MATCH(F102,Initial_Component_aggregator!B:B))),E102,INDEX(Initial_Component_aggregator!J:J,MATCH(J102,Initial_Component_aggregator!H:H))))</f>
        <v xml:space="preserve"> </v>
      </c>
      <c r="M102" t="str" cm="1">
        <f t="array" ref="M102">IF(F102=0," ",IF(ISBLANK(INDEX(Initial_Component_aggregator!H:H,MATCH(F102,Initial_Component_aggregator!B:B))),F102,INDEX(Initial_Component_aggregator!K:K,MATCH(J102,Initial_Component_aggregator!H:H))))</f>
        <v xml:space="preserve"> </v>
      </c>
    </row>
    <row r="103" spans="1:13" ht="36" customHeight="1">
      <c r="A103"/>
      <c r="B103"/>
      <c r="C103"/>
      <c r="D103"/>
      <c r="E103"/>
      <c r="F103"/>
      <c r="G103"/>
      <c r="H103" t="str">
        <f t="shared" si="1"/>
        <v xml:space="preserve"> </v>
      </c>
      <c r="I103" t="str" cm="1">
        <f t="array" ref="I103">IF(F103=0," ",IF(ISBLANK(INDEX(Initial_Component_aggregator!F:F,MATCH(F103,Initial_Component_aggregator!B:B,0))),"No change",INDEX(Initial_Component_aggregator!F:F,MATCH(F103,Initial_Component_aggregator!B:B,0))))</f>
        <v xml:space="preserve"> </v>
      </c>
      <c r="J103" t="str" cm="1">
        <f t="array" ref="J103">IF(F103=0," ",IF(ISBLANK(INDEX(Initial_Component_aggregator!H:H,MATCH(F103,Initial_Component_aggregator!B:B,0))),F103,INDEX(Initial_Component_aggregator!H:H,MATCH(F103,Initial_Component_aggregator!B:B,0))))</f>
        <v xml:space="preserve"> </v>
      </c>
      <c r="K103" t="str" cm="1">
        <f t="array" ref="K103">IF(F103=0," ",IF(ISBLANK(INDEX(Initial_Component_aggregator!H:H,MATCH(F103,Initial_Component_aggregator!B:B))),D103,INDEX(Initial_Component_aggregator!I:I,MATCH(J103,Initial_Component_aggregator!H:H))))</f>
        <v xml:space="preserve"> </v>
      </c>
      <c r="L103" t="str" cm="1">
        <f t="array" ref="L103">IF(F103=0," ",IF(ISBLANK(INDEX(Initial_Component_aggregator!H:H,MATCH(F103,Initial_Component_aggregator!B:B))),E103,INDEX(Initial_Component_aggregator!J:J,MATCH(J103,Initial_Component_aggregator!H:H))))</f>
        <v xml:space="preserve"> </v>
      </c>
      <c r="M103" t="str" cm="1">
        <f t="array" ref="M103">IF(F103=0," ",IF(ISBLANK(INDEX(Initial_Component_aggregator!H:H,MATCH(F103,Initial_Component_aggregator!B:B))),F103,INDEX(Initial_Component_aggregator!K:K,MATCH(J103,Initial_Component_aggregator!H:H))))</f>
        <v xml:space="preserve"> </v>
      </c>
    </row>
    <row r="104" spans="1:13" ht="36" customHeight="1">
      <c r="A104"/>
      <c r="B104"/>
      <c r="C104"/>
      <c r="D104"/>
      <c r="E104"/>
      <c r="F104"/>
      <c r="G104"/>
      <c r="H104" t="str">
        <f t="shared" si="1"/>
        <v xml:space="preserve"> </v>
      </c>
      <c r="I104" t="str" cm="1">
        <f t="array" ref="I104">IF(F104=0," ",IF(ISBLANK(INDEX(Initial_Component_aggregator!F:F,MATCH(F104,Initial_Component_aggregator!B:B,0))),"No change",INDEX(Initial_Component_aggregator!F:F,MATCH(F104,Initial_Component_aggregator!B:B,0))))</f>
        <v xml:space="preserve"> </v>
      </c>
      <c r="J104" t="str" cm="1">
        <f t="array" ref="J104">IF(F104=0," ",IF(ISBLANK(INDEX(Initial_Component_aggregator!H:H,MATCH(F104,Initial_Component_aggregator!B:B,0))),F104,INDEX(Initial_Component_aggregator!H:H,MATCH(F104,Initial_Component_aggregator!B:B,0))))</f>
        <v xml:space="preserve"> </v>
      </c>
      <c r="K104" t="str" cm="1">
        <f t="array" ref="K104">IF(F104=0," ",IF(ISBLANK(INDEX(Initial_Component_aggregator!H:H,MATCH(F104,Initial_Component_aggregator!B:B))),D104,INDEX(Initial_Component_aggregator!I:I,MATCH(J104,Initial_Component_aggregator!H:H))))</f>
        <v xml:space="preserve"> </v>
      </c>
      <c r="L104" t="str" cm="1">
        <f t="array" ref="L104">IF(F104=0," ",IF(ISBLANK(INDEX(Initial_Component_aggregator!H:H,MATCH(F104,Initial_Component_aggregator!B:B))),E104,INDEX(Initial_Component_aggregator!J:J,MATCH(J104,Initial_Component_aggregator!H:H))))</f>
        <v xml:space="preserve"> </v>
      </c>
      <c r="M104" t="str" cm="1">
        <f t="array" ref="M104">IF(F104=0," ",IF(ISBLANK(INDEX(Initial_Component_aggregator!H:H,MATCH(F104,Initial_Component_aggregator!B:B))),F104,INDEX(Initial_Component_aggregator!K:K,MATCH(J104,Initial_Component_aggregator!H:H))))</f>
        <v xml:space="preserve"> </v>
      </c>
    </row>
    <row r="105" spans="1:13" ht="36" customHeight="1">
      <c r="A105"/>
      <c r="B105"/>
      <c r="C105"/>
      <c r="D105"/>
      <c r="E105"/>
      <c r="F105"/>
      <c r="G105"/>
      <c r="H105" t="str">
        <f t="shared" si="1"/>
        <v xml:space="preserve"> </v>
      </c>
      <c r="I105" t="str" cm="1">
        <f t="array" ref="I105">IF(F105=0," ",IF(ISBLANK(INDEX(Initial_Component_aggregator!F:F,MATCH(F105,Initial_Component_aggregator!B:B,0))),"No change",INDEX(Initial_Component_aggregator!F:F,MATCH(F105,Initial_Component_aggregator!B:B,0))))</f>
        <v xml:space="preserve"> </v>
      </c>
      <c r="J105" t="str" cm="1">
        <f t="array" ref="J105">IF(F105=0," ",IF(ISBLANK(INDEX(Initial_Component_aggregator!H:H,MATCH(F105,Initial_Component_aggregator!B:B,0))),F105,INDEX(Initial_Component_aggregator!H:H,MATCH(F105,Initial_Component_aggregator!B:B,0))))</f>
        <v xml:space="preserve"> </v>
      </c>
      <c r="K105" t="str" cm="1">
        <f t="array" ref="K105">IF(F105=0," ",IF(ISBLANK(INDEX(Initial_Component_aggregator!H:H,MATCH(F105,Initial_Component_aggregator!B:B))),D105,INDEX(Initial_Component_aggregator!I:I,MATCH(J105,Initial_Component_aggregator!H:H))))</f>
        <v xml:space="preserve"> </v>
      </c>
      <c r="L105" t="str" cm="1">
        <f t="array" ref="L105">IF(F105=0," ",IF(ISBLANK(INDEX(Initial_Component_aggregator!H:H,MATCH(F105,Initial_Component_aggregator!B:B))),E105,INDEX(Initial_Component_aggregator!J:J,MATCH(J105,Initial_Component_aggregator!H:H))))</f>
        <v xml:space="preserve"> </v>
      </c>
      <c r="M105" t="str" cm="1">
        <f t="array" ref="M105">IF(F105=0," ",IF(ISBLANK(INDEX(Initial_Component_aggregator!H:H,MATCH(F105,Initial_Component_aggregator!B:B))),F105,INDEX(Initial_Component_aggregator!K:K,MATCH(J105,Initial_Component_aggregator!H:H))))</f>
        <v xml:space="preserve"> </v>
      </c>
    </row>
    <row r="106" spans="1:13" ht="36" customHeight="1">
      <c r="A106"/>
      <c r="B106"/>
      <c r="C106"/>
      <c r="D106"/>
      <c r="E106"/>
      <c r="F106"/>
      <c r="G106"/>
      <c r="H106" t="str">
        <f t="shared" si="1"/>
        <v xml:space="preserve"> </v>
      </c>
      <c r="I106" t="str" cm="1">
        <f t="array" ref="I106">IF(F106=0," ",IF(ISBLANK(INDEX(Initial_Component_aggregator!F:F,MATCH(F106,Initial_Component_aggregator!B:B,0))),"No change",INDEX(Initial_Component_aggregator!F:F,MATCH(F106,Initial_Component_aggregator!B:B,0))))</f>
        <v xml:space="preserve"> </v>
      </c>
      <c r="J106" t="str" cm="1">
        <f t="array" ref="J106">IF(F106=0," ",IF(ISBLANK(INDEX(Initial_Component_aggregator!H:H,MATCH(F106,Initial_Component_aggregator!B:B,0))),F106,INDEX(Initial_Component_aggregator!H:H,MATCH(F106,Initial_Component_aggregator!B:B,0))))</f>
        <v xml:space="preserve"> </v>
      </c>
      <c r="K106" t="str" cm="1">
        <f t="array" ref="K106">IF(F106=0," ",IF(ISBLANK(INDEX(Initial_Component_aggregator!H:H,MATCH(F106,Initial_Component_aggregator!B:B))),D106,INDEX(Initial_Component_aggregator!I:I,MATCH(J106,Initial_Component_aggregator!H:H))))</f>
        <v xml:space="preserve"> </v>
      </c>
      <c r="L106" t="str" cm="1">
        <f t="array" ref="L106">IF(F106=0," ",IF(ISBLANK(INDEX(Initial_Component_aggregator!H:H,MATCH(F106,Initial_Component_aggregator!B:B))),E106,INDEX(Initial_Component_aggregator!J:J,MATCH(J106,Initial_Component_aggregator!H:H))))</f>
        <v xml:space="preserve"> </v>
      </c>
      <c r="M106" t="str" cm="1">
        <f t="array" ref="M106">IF(F106=0," ",IF(ISBLANK(INDEX(Initial_Component_aggregator!H:H,MATCH(F106,Initial_Component_aggregator!B:B))),F106,INDEX(Initial_Component_aggregator!K:K,MATCH(J106,Initial_Component_aggregator!H:H))))</f>
        <v xml:space="preserve"> </v>
      </c>
    </row>
    <row r="107" spans="1:13" ht="36" customHeight="1">
      <c r="A107"/>
      <c r="B107"/>
      <c r="C107"/>
      <c r="D107"/>
      <c r="E107"/>
      <c r="F107"/>
      <c r="G107"/>
      <c r="H107" t="str">
        <f t="shared" si="1"/>
        <v xml:space="preserve"> </v>
      </c>
      <c r="I107" t="str" cm="1">
        <f t="array" ref="I107">IF(F107=0," ",IF(ISBLANK(INDEX(Initial_Component_aggregator!F:F,MATCH(F107,Initial_Component_aggregator!B:B,0))),"No change",INDEX(Initial_Component_aggregator!F:F,MATCH(F107,Initial_Component_aggregator!B:B,0))))</f>
        <v xml:space="preserve"> </v>
      </c>
      <c r="J107" t="str" cm="1">
        <f t="array" ref="J107">IF(F107=0," ",IF(ISBLANK(INDEX(Initial_Component_aggregator!H:H,MATCH(F107,Initial_Component_aggregator!B:B,0))),F107,INDEX(Initial_Component_aggregator!H:H,MATCH(F107,Initial_Component_aggregator!B:B,0))))</f>
        <v xml:space="preserve"> </v>
      </c>
      <c r="K107" t="str" cm="1">
        <f t="array" ref="K107">IF(F107=0," ",IF(ISBLANK(INDEX(Initial_Component_aggregator!H:H,MATCH(F107,Initial_Component_aggregator!B:B))),D107,INDEX(Initial_Component_aggregator!I:I,MATCH(J107,Initial_Component_aggregator!H:H))))</f>
        <v xml:space="preserve"> </v>
      </c>
      <c r="L107" t="str" cm="1">
        <f t="array" ref="L107">IF(F107=0," ",IF(ISBLANK(INDEX(Initial_Component_aggregator!H:H,MATCH(F107,Initial_Component_aggregator!B:B))),E107,INDEX(Initial_Component_aggregator!J:J,MATCH(J107,Initial_Component_aggregator!H:H))))</f>
        <v xml:space="preserve"> </v>
      </c>
      <c r="M107" t="str" cm="1">
        <f t="array" ref="M107">IF(F107=0," ",IF(ISBLANK(INDEX(Initial_Component_aggregator!H:H,MATCH(F107,Initial_Component_aggregator!B:B))),F107,INDEX(Initial_Component_aggregator!K:K,MATCH(J107,Initial_Component_aggregator!H:H))))</f>
        <v xml:space="preserve"> </v>
      </c>
    </row>
    <row r="108" spans="1:13" ht="36" customHeight="1">
      <c r="A108"/>
      <c r="B108"/>
      <c r="C108"/>
      <c r="D108"/>
      <c r="E108"/>
      <c r="F108"/>
      <c r="G108"/>
      <c r="H108" t="str">
        <f t="shared" si="1"/>
        <v xml:space="preserve"> </v>
      </c>
      <c r="I108" t="str" cm="1">
        <f t="array" ref="I108">IF(F108=0," ",IF(ISBLANK(INDEX(Initial_Component_aggregator!F:F,MATCH(F108,Initial_Component_aggregator!B:B,0))),"No change",INDEX(Initial_Component_aggregator!F:F,MATCH(F108,Initial_Component_aggregator!B:B,0))))</f>
        <v xml:space="preserve"> </v>
      </c>
      <c r="J108" t="str" cm="1">
        <f t="array" ref="J108">IF(F108=0," ",IF(ISBLANK(INDEX(Initial_Component_aggregator!H:H,MATCH(F108,Initial_Component_aggregator!B:B,0))),F108,INDEX(Initial_Component_aggregator!H:H,MATCH(F108,Initial_Component_aggregator!B:B,0))))</f>
        <v xml:space="preserve"> </v>
      </c>
      <c r="K108" t="str" cm="1">
        <f t="array" ref="K108">IF(F108=0," ",IF(ISBLANK(INDEX(Initial_Component_aggregator!H:H,MATCH(F108,Initial_Component_aggregator!B:B))),D108,INDEX(Initial_Component_aggregator!I:I,MATCH(J108,Initial_Component_aggregator!H:H))))</f>
        <v xml:space="preserve"> </v>
      </c>
      <c r="L108" t="str" cm="1">
        <f t="array" ref="L108">IF(F108=0," ",IF(ISBLANK(INDEX(Initial_Component_aggregator!H:H,MATCH(F108,Initial_Component_aggregator!B:B))),E108,INDEX(Initial_Component_aggregator!J:J,MATCH(J108,Initial_Component_aggregator!H:H))))</f>
        <v xml:space="preserve"> </v>
      </c>
      <c r="M108" t="str" cm="1">
        <f t="array" ref="M108">IF(F108=0," ",IF(ISBLANK(INDEX(Initial_Component_aggregator!H:H,MATCH(F108,Initial_Component_aggregator!B:B))),F108,INDEX(Initial_Component_aggregator!K:K,MATCH(J108,Initial_Component_aggregator!H:H))))</f>
        <v xml:space="preserve"> </v>
      </c>
    </row>
    <row r="109" spans="1:13" ht="36" customHeight="1">
      <c r="A109"/>
      <c r="B109"/>
      <c r="C109"/>
      <c r="D109"/>
      <c r="E109"/>
      <c r="F109"/>
      <c r="G109"/>
      <c r="H109" t="str">
        <f t="shared" si="1"/>
        <v xml:space="preserve"> </v>
      </c>
      <c r="I109" t="str" cm="1">
        <f t="array" ref="I109">IF(F109=0," ",IF(ISBLANK(INDEX(Initial_Component_aggregator!F:F,MATCH(F109,Initial_Component_aggregator!B:B,0))),"No change",INDEX(Initial_Component_aggregator!F:F,MATCH(F109,Initial_Component_aggregator!B:B,0))))</f>
        <v xml:space="preserve"> </v>
      </c>
      <c r="J109" t="str" cm="1">
        <f t="array" ref="J109">IF(F109=0," ",IF(ISBLANK(INDEX(Initial_Component_aggregator!H:H,MATCH(F109,Initial_Component_aggregator!B:B,0))),F109,INDEX(Initial_Component_aggregator!H:H,MATCH(F109,Initial_Component_aggregator!B:B,0))))</f>
        <v xml:space="preserve"> </v>
      </c>
      <c r="K109" t="str" cm="1">
        <f t="array" ref="K109">IF(F109=0," ",IF(ISBLANK(INDEX(Initial_Component_aggregator!H:H,MATCH(F109,Initial_Component_aggregator!B:B))),D109,INDEX(Initial_Component_aggregator!I:I,MATCH(J109,Initial_Component_aggregator!H:H))))</f>
        <v xml:space="preserve"> </v>
      </c>
      <c r="L109" t="str" cm="1">
        <f t="array" ref="L109">IF(F109=0," ",IF(ISBLANK(INDEX(Initial_Component_aggregator!H:H,MATCH(F109,Initial_Component_aggregator!B:B))),E109,INDEX(Initial_Component_aggregator!J:J,MATCH(J109,Initial_Component_aggregator!H:H))))</f>
        <v xml:space="preserve"> </v>
      </c>
      <c r="M109" t="str" cm="1">
        <f t="array" ref="M109">IF(F109=0," ",IF(ISBLANK(INDEX(Initial_Component_aggregator!H:H,MATCH(F109,Initial_Component_aggregator!B:B))),F109,INDEX(Initial_Component_aggregator!K:K,MATCH(J109,Initial_Component_aggregator!H:H))))</f>
        <v xml:space="preserve"> </v>
      </c>
    </row>
    <row r="110" spans="1:13" ht="36" customHeight="1">
      <c r="A110"/>
      <c r="B110"/>
      <c r="C110"/>
      <c r="D110"/>
      <c r="E110"/>
      <c r="F110"/>
      <c r="G110"/>
      <c r="H110" t="str">
        <f t="shared" si="1"/>
        <v xml:space="preserve"> </v>
      </c>
      <c r="I110" t="str" cm="1">
        <f t="array" ref="I110">IF(F110=0," ",IF(ISBLANK(INDEX(Initial_Component_aggregator!F:F,MATCH(F110,Initial_Component_aggregator!B:B,0))),"No change",INDEX(Initial_Component_aggregator!F:F,MATCH(F110,Initial_Component_aggregator!B:B,0))))</f>
        <v xml:space="preserve"> </v>
      </c>
      <c r="J110" t="str" cm="1">
        <f t="array" ref="J110">IF(F110=0," ",IF(ISBLANK(INDEX(Initial_Component_aggregator!H:H,MATCH(F110,Initial_Component_aggregator!B:B,0))),F110,INDEX(Initial_Component_aggregator!H:H,MATCH(F110,Initial_Component_aggregator!B:B,0))))</f>
        <v xml:space="preserve"> </v>
      </c>
      <c r="K110" t="str" cm="1">
        <f t="array" ref="K110">IF(F110=0," ",IF(ISBLANK(INDEX(Initial_Component_aggregator!H:H,MATCH(F110,Initial_Component_aggregator!B:B))),D110,INDEX(Initial_Component_aggregator!I:I,MATCH(J110,Initial_Component_aggregator!H:H))))</f>
        <v xml:space="preserve"> </v>
      </c>
      <c r="L110" t="str" cm="1">
        <f t="array" ref="L110">IF(F110=0," ",IF(ISBLANK(INDEX(Initial_Component_aggregator!H:H,MATCH(F110,Initial_Component_aggregator!B:B))),E110,INDEX(Initial_Component_aggregator!J:J,MATCH(J110,Initial_Component_aggregator!H:H))))</f>
        <v xml:space="preserve"> </v>
      </c>
      <c r="M110" t="str" cm="1">
        <f t="array" ref="M110">IF(F110=0," ",IF(ISBLANK(INDEX(Initial_Component_aggregator!H:H,MATCH(F110,Initial_Component_aggregator!B:B))),F110,INDEX(Initial_Component_aggregator!K:K,MATCH(J110,Initial_Component_aggregator!H:H))))</f>
        <v xml:space="preserve"> </v>
      </c>
    </row>
    <row r="111" spans="1:13" ht="36" customHeight="1">
      <c r="A111"/>
      <c r="B111"/>
      <c r="C111"/>
      <c r="D111"/>
      <c r="E111"/>
      <c r="F111"/>
      <c r="G111"/>
      <c r="H111" t="str">
        <f t="shared" si="1"/>
        <v xml:space="preserve"> </v>
      </c>
      <c r="I111" t="str" cm="1">
        <f t="array" ref="I111">IF(F111=0," ",IF(ISBLANK(INDEX(Initial_Component_aggregator!F:F,MATCH(F111,Initial_Component_aggregator!B:B,0))),"No change",INDEX(Initial_Component_aggregator!F:F,MATCH(F111,Initial_Component_aggregator!B:B,0))))</f>
        <v xml:space="preserve"> </v>
      </c>
      <c r="J111" t="str" cm="1">
        <f t="array" ref="J111">IF(F111=0," ",IF(ISBLANK(INDEX(Initial_Component_aggregator!H:H,MATCH(F111,Initial_Component_aggregator!B:B,0))),F111,INDEX(Initial_Component_aggregator!H:H,MATCH(F111,Initial_Component_aggregator!B:B,0))))</f>
        <v xml:space="preserve"> </v>
      </c>
      <c r="K111" t="str" cm="1">
        <f t="array" ref="K111">IF(F111=0," ",IF(ISBLANK(INDEX(Initial_Component_aggregator!H:H,MATCH(F111,Initial_Component_aggregator!B:B))),D111,INDEX(Initial_Component_aggregator!I:I,MATCH(J111,Initial_Component_aggregator!H:H))))</f>
        <v xml:space="preserve"> </v>
      </c>
      <c r="L111" t="str" cm="1">
        <f t="array" ref="L111">IF(F111=0," ",IF(ISBLANK(INDEX(Initial_Component_aggregator!H:H,MATCH(F111,Initial_Component_aggregator!B:B))),E111,INDEX(Initial_Component_aggregator!J:J,MATCH(J111,Initial_Component_aggregator!H:H))))</f>
        <v xml:space="preserve"> </v>
      </c>
      <c r="M111" t="str" cm="1">
        <f t="array" ref="M111">IF(F111=0," ",IF(ISBLANK(INDEX(Initial_Component_aggregator!H:H,MATCH(F111,Initial_Component_aggregator!B:B))),F111,INDEX(Initial_Component_aggregator!K:K,MATCH(J111,Initial_Component_aggregator!H:H))))</f>
        <v xml:space="preserve"> </v>
      </c>
    </row>
    <row r="112" spans="1:13" ht="36" customHeight="1">
      <c r="A112"/>
      <c r="B112"/>
      <c r="C112"/>
      <c r="D112"/>
      <c r="E112"/>
      <c r="F112"/>
      <c r="G112"/>
      <c r="H112" t="str">
        <f t="shared" si="1"/>
        <v xml:space="preserve"> </v>
      </c>
      <c r="I112" t="str" cm="1">
        <f t="array" ref="I112">IF(F112=0," ",IF(ISBLANK(INDEX(Initial_Component_aggregator!F:F,MATCH(F112,Initial_Component_aggregator!B:B,0))),"No change",INDEX(Initial_Component_aggregator!F:F,MATCH(F112,Initial_Component_aggregator!B:B,0))))</f>
        <v xml:space="preserve"> </v>
      </c>
      <c r="J112" t="str" cm="1">
        <f t="array" ref="J112">IF(F112=0," ",IF(ISBLANK(INDEX(Initial_Component_aggregator!H:H,MATCH(F112,Initial_Component_aggregator!B:B,0))),F112,INDEX(Initial_Component_aggregator!H:H,MATCH(F112,Initial_Component_aggregator!B:B,0))))</f>
        <v xml:space="preserve"> </v>
      </c>
      <c r="K112" t="str" cm="1">
        <f t="array" ref="K112">IF(F112=0," ",IF(ISBLANK(INDEX(Initial_Component_aggregator!H:H,MATCH(F112,Initial_Component_aggregator!B:B))),D112,INDEX(Initial_Component_aggregator!I:I,MATCH(J112,Initial_Component_aggregator!H:H))))</f>
        <v xml:space="preserve"> </v>
      </c>
      <c r="L112" t="str" cm="1">
        <f t="array" ref="L112">IF(F112=0," ",IF(ISBLANK(INDEX(Initial_Component_aggregator!H:H,MATCH(F112,Initial_Component_aggregator!B:B))),E112,INDEX(Initial_Component_aggregator!J:J,MATCH(J112,Initial_Component_aggregator!H:H))))</f>
        <v xml:space="preserve"> </v>
      </c>
      <c r="M112" t="str" cm="1">
        <f t="array" ref="M112">IF(F112=0," ",IF(ISBLANK(INDEX(Initial_Component_aggregator!H:H,MATCH(F112,Initial_Component_aggregator!B:B))),F112,INDEX(Initial_Component_aggregator!K:K,MATCH(J112,Initial_Component_aggregator!H:H))))</f>
        <v xml:space="preserve"> </v>
      </c>
    </row>
    <row r="113" spans="1:13" ht="36" customHeight="1">
      <c r="A113"/>
      <c r="B113"/>
      <c r="C113"/>
      <c r="D113"/>
      <c r="E113"/>
      <c r="F113"/>
      <c r="G113"/>
      <c r="H113" t="str">
        <f t="shared" si="1"/>
        <v xml:space="preserve"> </v>
      </c>
      <c r="I113" t="str" cm="1">
        <f t="array" ref="I113">IF(F113=0," ",IF(ISBLANK(INDEX(Initial_Component_aggregator!F:F,MATCH(F113,Initial_Component_aggregator!B:B,0))),"No change",INDEX(Initial_Component_aggregator!F:F,MATCH(F113,Initial_Component_aggregator!B:B,0))))</f>
        <v xml:space="preserve"> </v>
      </c>
      <c r="J113" t="str" cm="1">
        <f t="array" ref="J113">IF(F113=0," ",IF(ISBLANK(INDEX(Initial_Component_aggregator!H:H,MATCH(F113,Initial_Component_aggregator!B:B,0))),F113,INDEX(Initial_Component_aggregator!H:H,MATCH(F113,Initial_Component_aggregator!B:B,0))))</f>
        <v xml:space="preserve"> </v>
      </c>
      <c r="K113" t="str" cm="1">
        <f t="array" ref="K113">IF(F113=0," ",IF(ISBLANK(INDEX(Initial_Component_aggregator!H:H,MATCH(F113,Initial_Component_aggregator!B:B))),D113,INDEX(Initial_Component_aggregator!I:I,MATCH(J113,Initial_Component_aggregator!H:H))))</f>
        <v xml:space="preserve"> </v>
      </c>
      <c r="L113" t="str" cm="1">
        <f t="array" ref="L113">IF(F113=0," ",IF(ISBLANK(INDEX(Initial_Component_aggregator!H:H,MATCH(F113,Initial_Component_aggregator!B:B))),E113,INDEX(Initial_Component_aggregator!J:J,MATCH(J113,Initial_Component_aggregator!H:H))))</f>
        <v xml:space="preserve"> </v>
      </c>
      <c r="M113" t="str" cm="1">
        <f t="array" ref="M113">IF(F113=0," ",IF(ISBLANK(INDEX(Initial_Component_aggregator!H:H,MATCH(F113,Initial_Component_aggregator!B:B))),F113,INDEX(Initial_Component_aggregator!K:K,MATCH(J113,Initial_Component_aggregator!H:H))))</f>
        <v xml:space="preserve"> </v>
      </c>
    </row>
    <row r="114" spans="1:13" ht="36" customHeight="1">
      <c r="A114"/>
      <c r="B114"/>
      <c r="C114"/>
      <c r="D114"/>
      <c r="E114"/>
      <c r="F114"/>
      <c r="G114"/>
      <c r="H114" t="str">
        <f t="shared" si="1"/>
        <v xml:space="preserve"> </v>
      </c>
      <c r="I114" t="str" cm="1">
        <f t="array" ref="I114">IF(F114=0," ",IF(ISBLANK(INDEX(Initial_Component_aggregator!F:F,MATCH(F114,Initial_Component_aggregator!B:B,0))),"No change",INDEX(Initial_Component_aggregator!F:F,MATCH(F114,Initial_Component_aggregator!B:B,0))))</f>
        <v xml:space="preserve"> </v>
      </c>
      <c r="J114" t="str" cm="1">
        <f t="array" ref="J114">IF(F114=0," ",IF(ISBLANK(INDEX(Initial_Component_aggregator!H:H,MATCH(F114,Initial_Component_aggregator!B:B,0))),F114,INDEX(Initial_Component_aggregator!H:H,MATCH(F114,Initial_Component_aggregator!B:B,0))))</f>
        <v xml:space="preserve"> </v>
      </c>
      <c r="K114" t="str" cm="1">
        <f t="array" ref="K114">IF(F114=0," ",IF(ISBLANK(INDEX(Initial_Component_aggregator!H:H,MATCH(F114,Initial_Component_aggregator!B:B))),D114,INDEX(Initial_Component_aggregator!I:I,MATCH(J114,Initial_Component_aggregator!H:H))))</f>
        <v xml:space="preserve"> </v>
      </c>
      <c r="L114" t="str" cm="1">
        <f t="array" ref="L114">IF(F114=0," ",IF(ISBLANK(INDEX(Initial_Component_aggregator!H:H,MATCH(F114,Initial_Component_aggregator!B:B))),E114,INDEX(Initial_Component_aggregator!J:J,MATCH(J114,Initial_Component_aggregator!H:H))))</f>
        <v xml:space="preserve"> </v>
      </c>
      <c r="M114" t="str" cm="1">
        <f t="array" ref="M114">IF(F114=0," ",IF(ISBLANK(INDEX(Initial_Component_aggregator!H:H,MATCH(F114,Initial_Component_aggregator!B:B))),F114,INDEX(Initial_Component_aggregator!K:K,MATCH(J114,Initial_Component_aggregator!H:H))))</f>
        <v xml:space="preserve"> </v>
      </c>
    </row>
    <row r="115" spans="1:13" ht="36" customHeight="1">
      <c r="A115"/>
      <c r="B115"/>
      <c r="C115"/>
      <c r="D115"/>
      <c r="E115"/>
      <c r="F115"/>
      <c r="G115"/>
      <c r="H115" t="str">
        <f t="shared" si="1"/>
        <v xml:space="preserve"> </v>
      </c>
      <c r="I115" t="str" cm="1">
        <f t="array" ref="I115">IF(F115=0," ",IF(ISBLANK(INDEX(Initial_Component_aggregator!F:F,MATCH(F115,Initial_Component_aggregator!B:B,0))),"No change",INDEX(Initial_Component_aggregator!F:F,MATCH(F115,Initial_Component_aggregator!B:B,0))))</f>
        <v xml:space="preserve"> </v>
      </c>
      <c r="J115" t="str" cm="1">
        <f t="array" ref="J115">IF(F115=0," ",IF(ISBLANK(INDEX(Initial_Component_aggregator!H:H,MATCH(F115,Initial_Component_aggregator!B:B,0))),F115,INDEX(Initial_Component_aggregator!H:H,MATCH(F115,Initial_Component_aggregator!B:B,0))))</f>
        <v xml:space="preserve"> </v>
      </c>
      <c r="K115" t="str" cm="1">
        <f t="array" ref="K115">IF(F115=0," ",IF(ISBLANK(INDEX(Initial_Component_aggregator!H:H,MATCH(F115,Initial_Component_aggregator!B:B))),D115,INDEX(Initial_Component_aggregator!I:I,MATCH(J115,Initial_Component_aggregator!H:H))))</f>
        <v xml:space="preserve"> </v>
      </c>
      <c r="L115" t="str" cm="1">
        <f t="array" ref="L115">IF(F115=0," ",IF(ISBLANK(INDEX(Initial_Component_aggregator!H:H,MATCH(F115,Initial_Component_aggregator!B:B))),E115,INDEX(Initial_Component_aggregator!J:J,MATCH(J115,Initial_Component_aggregator!H:H))))</f>
        <v xml:space="preserve"> </v>
      </c>
      <c r="M115" t="str" cm="1">
        <f t="array" ref="M115">IF(F115=0," ",IF(ISBLANK(INDEX(Initial_Component_aggregator!H:H,MATCH(F115,Initial_Component_aggregator!B:B))),F115,INDEX(Initial_Component_aggregator!K:K,MATCH(J115,Initial_Component_aggregator!H:H))))</f>
        <v xml:space="preserve"> </v>
      </c>
    </row>
    <row r="116" spans="1:13" ht="36" customHeight="1">
      <c r="A116"/>
      <c r="B116"/>
      <c r="C116"/>
      <c r="D116"/>
      <c r="E116"/>
      <c r="F116"/>
      <c r="G116"/>
      <c r="H116" t="str">
        <f t="shared" si="1"/>
        <v xml:space="preserve"> </v>
      </c>
      <c r="I116" t="str" cm="1">
        <f t="array" ref="I116">IF(F116=0," ",IF(ISBLANK(INDEX(Initial_Component_aggregator!F:F,MATCH(F116,Initial_Component_aggregator!B:B,0))),"No change",INDEX(Initial_Component_aggregator!F:F,MATCH(F116,Initial_Component_aggregator!B:B,0))))</f>
        <v xml:space="preserve"> </v>
      </c>
      <c r="J116" t="str" cm="1">
        <f t="array" ref="J116">IF(F116=0," ",IF(ISBLANK(INDEX(Initial_Component_aggregator!H:H,MATCH(F116,Initial_Component_aggregator!B:B,0))),F116,INDEX(Initial_Component_aggregator!H:H,MATCH(F116,Initial_Component_aggregator!B:B,0))))</f>
        <v xml:space="preserve"> </v>
      </c>
      <c r="K116" t="str" cm="1">
        <f t="array" ref="K116">IF(F116=0," ",IF(ISBLANK(INDEX(Initial_Component_aggregator!H:H,MATCH(F116,Initial_Component_aggregator!B:B))),D116,INDEX(Initial_Component_aggregator!I:I,MATCH(J116,Initial_Component_aggregator!H:H))))</f>
        <v xml:space="preserve"> </v>
      </c>
      <c r="L116" t="str" cm="1">
        <f t="array" ref="L116">IF(F116=0," ",IF(ISBLANK(INDEX(Initial_Component_aggregator!H:H,MATCH(F116,Initial_Component_aggregator!B:B))),E116,INDEX(Initial_Component_aggregator!J:J,MATCH(J116,Initial_Component_aggregator!H:H))))</f>
        <v xml:space="preserve"> </v>
      </c>
      <c r="M116" t="str" cm="1">
        <f t="array" ref="M116">IF(F116=0," ",IF(ISBLANK(INDEX(Initial_Component_aggregator!H:H,MATCH(F116,Initial_Component_aggregator!B:B))),F116,INDEX(Initial_Component_aggregator!K:K,MATCH(J116,Initial_Component_aggregator!H:H))))</f>
        <v xml:space="preserve"> </v>
      </c>
    </row>
    <row r="117" spans="1:13" ht="36" customHeight="1">
      <c r="A117"/>
      <c r="B117"/>
      <c r="C117"/>
      <c r="D117"/>
      <c r="E117"/>
      <c r="F117"/>
      <c r="G117"/>
      <c r="H117" t="str">
        <f t="shared" si="1"/>
        <v xml:space="preserve"> </v>
      </c>
      <c r="I117" t="str" cm="1">
        <f t="array" ref="I117">IF(F117=0," ",IF(ISBLANK(INDEX(Initial_Component_aggregator!F:F,MATCH(F117,Initial_Component_aggregator!B:B,0))),"No change",INDEX(Initial_Component_aggregator!F:F,MATCH(F117,Initial_Component_aggregator!B:B,0))))</f>
        <v xml:space="preserve"> </v>
      </c>
      <c r="J117" t="str" cm="1">
        <f t="array" ref="J117">IF(F117=0," ",IF(ISBLANK(INDEX(Initial_Component_aggregator!H:H,MATCH(F117,Initial_Component_aggregator!B:B,0))),F117,INDEX(Initial_Component_aggregator!H:H,MATCH(F117,Initial_Component_aggregator!B:B,0))))</f>
        <v xml:space="preserve"> </v>
      </c>
      <c r="K117" t="str" cm="1">
        <f t="array" ref="K117">IF(F117=0," ",IF(ISBLANK(INDEX(Initial_Component_aggregator!H:H,MATCH(F117,Initial_Component_aggregator!B:B))),D117,INDEX(Initial_Component_aggregator!I:I,MATCH(J117,Initial_Component_aggregator!H:H))))</f>
        <v xml:space="preserve"> </v>
      </c>
      <c r="L117" t="str" cm="1">
        <f t="array" ref="L117">IF(F117=0," ",IF(ISBLANK(INDEX(Initial_Component_aggregator!H:H,MATCH(F117,Initial_Component_aggregator!B:B))),E117,INDEX(Initial_Component_aggregator!J:J,MATCH(J117,Initial_Component_aggregator!H:H))))</f>
        <v xml:space="preserve"> </v>
      </c>
      <c r="M117" t="str" cm="1">
        <f t="array" ref="M117">IF(F117=0," ",IF(ISBLANK(INDEX(Initial_Component_aggregator!H:H,MATCH(F117,Initial_Component_aggregator!B:B))),F117,INDEX(Initial_Component_aggregator!K:K,MATCH(J117,Initial_Component_aggregator!H:H))))</f>
        <v xml:space="preserve"> </v>
      </c>
    </row>
    <row r="118" spans="1:13" ht="36" customHeight="1">
      <c r="A118"/>
      <c r="B118"/>
      <c r="C118"/>
      <c r="D118"/>
      <c r="E118"/>
      <c r="F118"/>
      <c r="G118"/>
      <c r="H118" t="str">
        <f t="shared" si="1"/>
        <v xml:space="preserve"> </v>
      </c>
      <c r="I118" t="str" cm="1">
        <f t="array" ref="I118">IF(F118=0," ",IF(ISBLANK(INDEX(Initial_Component_aggregator!F:F,MATCH(F118,Initial_Component_aggregator!B:B,0))),"No change",INDEX(Initial_Component_aggregator!F:F,MATCH(F118,Initial_Component_aggregator!B:B,0))))</f>
        <v xml:space="preserve"> </v>
      </c>
      <c r="J118" t="str" cm="1">
        <f t="array" ref="J118">IF(F118=0," ",IF(ISBLANK(INDEX(Initial_Component_aggregator!H:H,MATCH(F118,Initial_Component_aggregator!B:B,0))),F118,INDEX(Initial_Component_aggregator!H:H,MATCH(F118,Initial_Component_aggregator!B:B,0))))</f>
        <v xml:space="preserve"> </v>
      </c>
      <c r="K118" t="str" cm="1">
        <f t="array" ref="K118">IF(F118=0," ",IF(ISBLANK(INDEX(Initial_Component_aggregator!H:H,MATCH(F118,Initial_Component_aggregator!B:B))),D118,INDEX(Initial_Component_aggregator!I:I,MATCH(J118,Initial_Component_aggregator!H:H))))</f>
        <v xml:space="preserve"> </v>
      </c>
      <c r="L118" t="str" cm="1">
        <f t="array" ref="L118">IF(F118=0," ",IF(ISBLANK(INDEX(Initial_Component_aggregator!H:H,MATCH(F118,Initial_Component_aggregator!B:B))),E118,INDEX(Initial_Component_aggregator!J:J,MATCH(J118,Initial_Component_aggregator!H:H))))</f>
        <v xml:space="preserve"> </v>
      </c>
      <c r="M118" t="str" cm="1">
        <f t="array" ref="M118">IF(F118=0," ",IF(ISBLANK(INDEX(Initial_Component_aggregator!H:H,MATCH(F118,Initial_Component_aggregator!B:B))),F118,INDEX(Initial_Component_aggregator!K:K,MATCH(J118,Initial_Component_aggregator!H:H))))</f>
        <v xml:space="preserve"> </v>
      </c>
    </row>
    <row r="119" spans="1:13" ht="36" customHeight="1">
      <c r="A119"/>
      <c r="B119"/>
      <c r="C119"/>
      <c r="D119"/>
      <c r="E119"/>
      <c r="F119"/>
      <c r="G119"/>
      <c r="H119" t="str">
        <f t="shared" si="1"/>
        <v xml:space="preserve"> </v>
      </c>
      <c r="I119" t="str" cm="1">
        <f t="array" ref="I119">IF(F119=0," ",IF(ISBLANK(INDEX(Initial_Component_aggregator!F:F,MATCH(F119,Initial_Component_aggregator!B:B,0))),"No change",INDEX(Initial_Component_aggregator!F:F,MATCH(F119,Initial_Component_aggregator!B:B,0))))</f>
        <v xml:space="preserve"> </v>
      </c>
      <c r="J119" t="str" cm="1">
        <f t="array" ref="J119">IF(F119=0," ",IF(ISBLANK(INDEX(Initial_Component_aggregator!H:H,MATCH(F119,Initial_Component_aggregator!B:B,0))),F119,INDEX(Initial_Component_aggregator!H:H,MATCH(F119,Initial_Component_aggregator!B:B,0))))</f>
        <v xml:space="preserve"> </v>
      </c>
      <c r="K119" t="str" cm="1">
        <f t="array" ref="K119">IF(F119=0," ",IF(ISBLANK(INDEX(Initial_Component_aggregator!H:H,MATCH(F119,Initial_Component_aggregator!B:B))),D119,INDEX(Initial_Component_aggregator!I:I,MATCH(J119,Initial_Component_aggregator!H:H))))</f>
        <v xml:space="preserve"> </v>
      </c>
      <c r="L119" t="str" cm="1">
        <f t="array" ref="L119">IF(F119=0," ",IF(ISBLANK(INDEX(Initial_Component_aggregator!H:H,MATCH(F119,Initial_Component_aggregator!B:B))),E119,INDEX(Initial_Component_aggregator!J:J,MATCH(J119,Initial_Component_aggregator!H:H))))</f>
        <v xml:space="preserve"> </v>
      </c>
      <c r="M119" t="str" cm="1">
        <f t="array" ref="M119">IF(F119=0," ",IF(ISBLANK(INDEX(Initial_Component_aggregator!H:H,MATCH(F119,Initial_Component_aggregator!B:B))),F119,INDEX(Initial_Component_aggregator!K:K,MATCH(J119,Initial_Component_aggregator!H:H))))</f>
        <v xml:space="preserve"> </v>
      </c>
    </row>
    <row r="120" spans="1:13" ht="36" customHeight="1">
      <c r="A120"/>
      <c r="B120"/>
      <c r="C120"/>
      <c r="D120"/>
      <c r="E120"/>
      <c r="F120"/>
      <c r="G120"/>
      <c r="H120" t="str">
        <f t="shared" si="1"/>
        <v xml:space="preserve"> </v>
      </c>
      <c r="I120" t="str" cm="1">
        <f t="array" ref="I120">IF(F120=0," ",IF(ISBLANK(INDEX(Initial_Component_aggregator!F:F,MATCH(F120,Initial_Component_aggregator!B:B,0))),"No change",INDEX(Initial_Component_aggregator!F:F,MATCH(F120,Initial_Component_aggregator!B:B,0))))</f>
        <v xml:space="preserve"> </v>
      </c>
      <c r="J120" t="str" cm="1">
        <f t="array" ref="J120">IF(F120=0," ",IF(ISBLANK(INDEX(Initial_Component_aggregator!H:H,MATCH(F120,Initial_Component_aggregator!B:B,0))),F120,INDEX(Initial_Component_aggregator!H:H,MATCH(F120,Initial_Component_aggregator!B:B,0))))</f>
        <v xml:space="preserve"> </v>
      </c>
      <c r="K120" t="str" cm="1">
        <f t="array" ref="K120">IF(F120=0," ",IF(ISBLANK(INDEX(Initial_Component_aggregator!H:H,MATCH(F120,Initial_Component_aggregator!B:B))),D120,INDEX(Initial_Component_aggregator!I:I,MATCH(J120,Initial_Component_aggregator!H:H))))</f>
        <v xml:space="preserve"> </v>
      </c>
      <c r="L120" t="str" cm="1">
        <f t="array" ref="L120">IF(F120=0," ",IF(ISBLANK(INDEX(Initial_Component_aggregator!H:H,MATCH(F120,Initial_Component_aggregator!B:B))),E120,INDEX(Initial_Component_aggregator!J:J,MATCH(J120,Initial_Component_aggregator!H:H))))</f>
        <v xml:space="preserve"> </v>
      </c>
      <c r="M120" t="str" cm="1">
        <f t="array" ref="M120">IF(F120=0," ",IF(ISBLANK(INDEX(Initial_Component_aggregator!H:H,MATCH(F120,Initial_Component_aggregator!B:B))),F120,INDEX(Initial_Component_aggregator!K:K,MATCH(J120,Initial_Component_aggregator!H:H))))</f>
        <v xml:space="preserve"> </v>
      </c>
    </row>
    <row r="121" spans="1:13" ht="36" customHeight="1">
      <c r="A121"/>
      <c r="B121"/>
      <c r="C121"/>
      <c r="D121"/>
      <c r="E121"/>
      <c r="F121"/>
      <c r="G121"/>
      <c r="H121" t="str">
        <f t="shared" si="1"/>
        <v xml:space="preserve"> </v>
      </c>
      <c r="I121" t="str" cm="1">
        <f t="array" ref="I121">IF(F121=0," ",IF(ISBLANK(INDEX(Initial_Component_aggregator!F:F,MATCH(F121,Initial_Component_aggregator!B:B,0))),"No change",INDEX(Initial_Component_aggregator!F:F,MATCH(F121,Initial_Component_aggregator!B:B,0))))</f>
        <v xml:space="preserve"> </v>
      </c>
      <c r="J121" t="str" cm="1">
        <f t="array" ref="J121">IF(F121=0," ",IF(ISBLANK(INDEX(Initial_Component_aggregator!H:H,MATCH(F121,Initial_Component_aggregator!B:B,0))),F121,INDEX(Initial_Component_aggregator!H:H,MATCH(F121,Initial_Component_aggregator!B:B,0))))</f>
        <v xml:space="preserve"> </v>
      </c>
      <c r="K121" t="str" cm="1">
        <f t="array" ref="K121">IF(F121=0," ",IF(ISBLANK(INDEX(Initial_Component_aggregator!H:H,MATCH(F121,Initial_Component_aggregator!B:B))),D121,INDEX(Initial_Component_aggregator!I:I,MATCH(J121,Initial_Component_aggregator!H:H))))</f>
        <v xml:space="preserve"> </v>
      </c>
      <c r="L121" t="str" cm="1">
        <f t="array" ref="L121">IF(F121=0," ",IF(ISBLANK(INDEX(Initial_Component_aggregator!H:H,MATCH(F121,Initial_Component_aggregator!B:B))),E121,INDEX(Initial_Component_aggregator!J:J,MATCH(J121,Initial_Component_aggregator!H:H))))</f>
        <v xml:space="preserve"> </v>
      </c>
      <c r="M121" t="str" cm="1">
        <f t="array" ref="M121">IF(F121=0," ",IF(ISBLANK(INDEX(Initial_Component_aggregator!H:H,MATCH(F121,Initial_Component_aggregator!B:B))),F121,INDEX(Initial_Component_aggregator!K:K,MATCH(J121,Initial_Component_aggregator!H:H))))</f>
        <v xml:space="preserve"> </v>
      </c>
    </row>
    <row r="122" spans="1:13" ht="36" customHeight="1">
      <c r="A122"/>
      <c r="B122"/>
      <c r="C122"/>
      <c r="D122"/>
      <c r="E122"/>
      <c r="F122"/>
      <c r="G122"/>
      <c r="H122" t="str">
        <f t="shared" si="1"/>
        <v xml:space="preserve"> </v>
      </c>
      <c r="I122" t="str" cm="1">
        <f t="array" ref="I122">IF(F122=0," ",IF(ISBLANK(INDEX(Initial_Component_aggregator!F:F,MATCH(F122,Initial_Component_aggregator!B:B,0))),"No change",INDEX(Initial_Component_aggregator!F:F,MATCH(F122,Initial_Component_aggregator!B:B,0))))</f>
        <v xml:space="preserve"> </v>
      </c>
      <c r="J122" t="str" cm="1">
        <f t="array" ref="J122">IF(F122=0," ",IF(ISBLANK(INDEX(Initial_Component_aggregator!H:H,MATCH(F122,Initial_Component_aggregator!B:B,0))),F122,INDEX(Initial_Component_aggregator!H:H,MATCH(F122,Initial_Component_aggregator!B:B,0))))</f>
        <v xml:space="preserve"> </v>
      </c>
      <c r="K122" t="str" cm="1">
        <f t="array" ref="K122">IF(F122=0," ",IF(ISBLANK(INDEX(Initial_Component_aggregator!H:H,MATCH(F122,Initial_Component_aggregator!B:B))),D122,INDEX(Initial_Component_aggregator!I:I,MATCH(J122,Initial_Component_aggregator!H:H))))</f>
        <v xml:space="preserve"> </v>
      </c>
      <c r="L122" t="str" cm="1">
        <f t="array" ref="L122">IF(F122=0," ",IF(ISBLANK(INDEX(Initial_Component_aggregator!H:H,MATCH(F122,Initial_Component_aggregator!B:B))),E122,INDEX(Initial_Component_aggregator!J:J,MATCH(J122,Initial_Component_aggregator!H:H))))</f>
        <v xml:space="preserve"> </v>
      </c>
      <c r="M122" t="str" cm="1">
        <f t="array" ref="M122">IF(F122=0," ",IF(ISBLANK(INDEX(Initial_Component_aggregator!H:H,MATCH(F122,Initial_Component_aggregator!B:B))),F122,INDEX(Initial_Component_aggregator!K:K,MATCH(J122,Initial_Component_aggregator!H:H))))</f>
        <v xml:space="preserve"> </v>
      </c>
    </row>
    <row r="123" spans="1:13" ht="36" customHeight="1">
      <c r="A123"/>
      <c r="B123"/>
      <c r="C123"/>
      <c r="D123"/>
      <c r="E123"/>
      <c r="F123"/>
      <c r="G123"/>
      <c r="H123" t="str">
        <f t="shared" si="1"/>
        <v xml:space="preserve"> </v>
      </c>
      <c r="I123" t="str" cm="1">
        <f t="array" ref="I123">IF(F123=0," ",IF(ISBLANK(INDEX(Initial_Component_aggregator!F:F,MATCH(F123,Initial_Component_aggregator!B:B,0))),"No change",INDEX(Initial_Component_aggregator!F:F,MATCH(F123,Initial_Component_aggregator!B:B,0))))</f>
        <v xml:space="preserve"> </v>
      </c>
      <c r="J123" t="str" cm="1">
        <f t="array" ref="J123">IF(F123=0," ",IF(ISBLANK(INDEX(Initial_Component_aggregator!H:H,MATCH(F123,Initial_Component_aggregator!B:B,0))),F123,INDEX(Initial_Component_aggregator!H:H,MATCH(F123,Initial_Component_aggregator!B:B,0))))</f>
        <v xml:space="preserve"> </v>
      </c>
      <c r="K123" t="str" cm="1">
        <f t="array" ref="K123">IF(F123=0," ",IF(ISBLANK(INDEX(Initial_Component_aggregator!H:H,MATCH(F123,Initial_Component_aggregator!B:B))),D123,INDEX(Initial_Component_aggregator!I:I,MATCH(J123,Initial_Component_aggregator!H:H))))</f>
        <v xml:space="preserve"> </v>
      </c>
      <c r="L123" t="str" cm="1">
        <f t="array" ref="L123">IF(F123=0," ",IF(ISBLANK(INDEX(Initial_Component_aggregator!H:H,MATCH(F123,Initial_Component_aggregator!B:B))),E123,INDEX(Initial_Component_aggregator!J:J,MATCH(J123,Initial_Component_aggregator!H:H))))</f>
        <v xml:space="preserve"> </v>
      </c>
      <c r="M123" t="str" cm="1">
        <f t="array" ref="M123">IF(F123=0," ",IF(ISBLANK(INDEX(Initial_Component_aggregator!H:H,MATCH(F123,Initial_Component_aggregator!B:B))),F123,INDEX(Initial_Component_aggregator!K:K,MATCH(J123,Initial_Component_aggregator!H:H))))</f>
        <v xml:space="preserve"> </v>
      </c>
    </row>
    <row r="124" spans="1:13" ht="36" customHeight="1">
      <c r="A124"/>
      <c r="B124"/>
      <c r="C124"/>
      <c r="D124"/>
      <c r="E124"/>
      <c r="F124"/>
      <c r="G124"/>
      <c r="H124" t="str">
        <f t="shared" si="1"/>
        <v xml:space="preserve"> </v>
      </c>
      <c r="I124" t="str" cm="1">
        <f t="array" ref="I124">IF(F124=0," ",IF(ISBLANK(INDEX(Initial_Component_aggregator!F:F,MATCH(F124,Initial_Component_aggregator!B:B,0))),"No change",INDEX(Initial_Component_aggregator!F:F,MATCH(F124,Initial_Component_aggregator!B:B,0))))</f>
        <v xml:space="preserve"> </v>
      </c>
      <c r="J124" t="str" cm="1">
        <f t="array" ref="J124">IF(F124=0," ",IF(ISBLANK(INDEX(Initial_Component_aggregator!H:H,MATCH(F124,Initial_Component_aggregator!B:B,0))),F124,INDEX(Initial_Component_aggregator!H:H,MATCH(F124,Initial_Component_aggregator!B:B,0))))</f>
        <v xml:space="preserve"> </v>
      </c>
      <c r="K124" t="str" cm="1">
        <f t="array" ref="K124">IF(F124=0," ",IF(ISBLANK(INDEX(Initial_Component_aggregator!H:H,MATCH(F124,Initial_Component_aggregator!B:B))),D124,INDEX(Initial_Component_aggregator!I:I,MATCH(J124,Initial_Component_aggregator!H:H))))</f>
        <v xml:space="preserve"> </v>
      </c>
      <c r="L124" t="str" cm="1">
        <f t="array" ref="L124">IF(F124=0," ",IF(ISBLANK(INDEX(Initial_Component_aggregator!H:H,MATCH(F124,Initial_Component_aggregator!B:B))),E124,INDEX(Initial_Component_aggregator!J:J,MATCH(J124,Initial_Component_aggregator!H:H))))</f>
        <v xml:space="preserve"> </v>
      </c>
      <c r="M124" t="str" cm="1">
        <f t="array" ref="M124">IF(F124=0," ",IF(ISBLANK(INDEX(Initial_Component_aggregator!H:H,MATCH(F124,Initial_Component_aggregator!B:B))),F124,INDEX(Initial_Component_aggregator!K:K,MATCH(J124,Initial_Component_aggregator!H:H))))</f>
        <v xml:space="preserve"> </v>
      </c>
    </row>
    <row r="125" spans="1:13" ht="36" customHeight="1">
      <c r="A125"/>
      <c r="B125"/>
      <c r="C125"/>
      <c r="D125"/>
      <c r="E125"/>
      <c r="F125"/>
      <c r="G125"/>
      <c r="H125" t="str">
        <f t="shared" si="1"/>
        <v xml:space="preserve"> </v>
      </c>
      <c r="I125" t="str" cm="1">
        <f t="array" ref="I125">IF(F125=0," ",IF(ISBLANK(INDEX(Initial_Component_aggregator!F:F,MATCH(F125,Initial_Component_aggregator!B:B,0))),"No change",INDEX(Initial_Component_aggregator!F:F,MATCH(F125,Initial_Component_aggregator!B:B,0))))</f>
        <v xml:space="preserve"> </v>
      </c>
      <c r="J125" t="str" cm="1">
        <f t="array" ref="J125">IF(F125=0," ",IF(ISBLANK(INDEX(Initial_Component_aggregator!H:H,MATCH(F125,Initial_Component_aggregator!B:B,0))),F125,INDEX(Initial_Component_aggregator!H:H,MATCH(F125,Initial_Component_aggregator!B:B,0))))</f>
        <v xml:space="preserve"> </v>
      </c>
      <c r="K125" t="str" cm="1">
        <f t="array" ref="K125">IF(F125=0," ",IF(ISBLANK(INDEX(Initial_Component_aggregator!H:H,MATCH(F125,Initial_Component_aggregator!B:B))),D125,INDEX(Initial_Component_aggregator!I:I,MATCH(J125,Initial_Component_aggregator!H:H))))</f>
        <v xml:space="preserve"> </v>
      </c>
      <c r="L125" t="str" cm="1">
        <f t="array" ref="L125">IF(F125=0," ",IF(ISBLANK(INDEX(Initial_Component_aggregator!H:H,MATCH(F125,Initial_Component_aggregator!B:B))),E125,INDEX(Initial_Component_aggregator!J:J,MATCH(J125,Initial_Component_aggregator!H:H))))</f>
        <v xml:space="preserve"> </v>
      </c>
      <c r="M125" t="str" cm="1">
        <f t="array" ref="M125">IF(F125=0," ",IF(ISBLANK(INDEX(Initial_Component_aggregator!H:H,MATCH(F125,Initial_Component_aggregator!B:B))),F125,INDEX(Initial_Component_aggregator!K:K,MATCH(J125,Initial_Component_aggregator!H:H))))</f>
        <v xml:space="preserve"> </v>
      </c>
    </row>
    <row r="126" spans="1:13" ht="36" customHeight="1">
      <c r="A126"/>
      <c r="B126"/>
      <c r="C126"/>
      <c r="D126"/>
      <c r="E126"/>
      <c r="F126"/>
      <c r="G126"/>
      <c r="H126" t="str">
        <f t="shared" si="1"/>
        <v xml:space="preserve"> </v>
      </c>
      <c r="I126" t="str" cm="1">
        <f t="array" ref="I126">IF(F126=0," ",IF(ISBLANK(INDEX(Initial_Component_aggregator!F:F,MATCH(F126,Initial_Component_aggregator!B:B,0))),"No change",INDEX(Initial_Component_aggregator!F:F,MATCH(F126,Initial_Component_aggregator!B:B,0))))</f>
        <v xml:space="preserve"> </v>
      </c>
      <c r="J126" t="str" cm="1">
        <f t="array" ref="J126">IF(F126=0," ",IF(ISBLANK(INDEX(Initial_Component_aggregator!H:H,MATCH(F126,Initial_Component_aggregator!B:B,0))),F126,INDEX(Initial_Component_aggregator!H:H,MATCH(F126,Initial_Component_aggregator!B:B,0))))</f>
        <v xml:space="preserve"> </v>
      </c>
      <c r="K126" t="str" cm="1">
        <f t="array" ref="K126">IF(F126=0," ",IF(ISBLANK(INDEX(Initial_Component_aggregator!H:H,MATCH(F126,Initial_Component_aggregator!B:B))),D126,INDEX(Initial_Component_aggregator!I:I,MATCH(J126,Initial_Component_aggregator!H:H))))</f>
        <v xml:space="preserve"> </v>
      </c>
      <c r="L126" t="str" cm="1">
        <f t="array" ref="L126">IF(F126=0," ",IF(ISBLANK(INDEX(Initial_Component_aggregator!H:H,MATCH(F126,Initial_Component_aggregator!B:B))),E126,INDEX(Initial_Component_aggregator!J:J,MATCH(J126,Initial_Component_aggregator!H:H))))</f>
        <v xml:space="preserve"> </v>
      </c>
      <c r="M126" t="str" cm="1">
        <f t="array" ref="M126">IF(F126=0," ",IF(ISBLANK(INDEX(Initial_Component_aggregator!H:H,MATCH(F126,Initial_Component_aggregator!B:B))),F126,INDEX(Initial_Component_aggregator!K:K,MATCH(J126,Initial_Component_aggregator!H:H))))</f>
        <v xml:space="preserve"> </v>
      </c>
    </row>
    <row r="127" spans="1:13" ht="36" customHeight="1">
      <c r="A127"/>
      <c r="B127"/>
      <c r="C127"/>
      <c r="D127"/>
      <c r="E127"/>
      <c r="F127"/>
      <c r="G127"/>
      <c r="H127" t="str">
        <f t="shared" si="1"/>
        <v xml:space="preserve"> </v>
      </c>
      <c r="I127" t="str" cm="1">
        <f t="array" ref="I127">IF(F127=0," ",IF(ISBLANK(INDEX(Initial_Component_aggregator!F:F,MATCH(F127,Initial_Component_aggregator!B:B,0))),"No change",INDEX(Initial_Component_aggregator!F:F,MATCH(F127,Initial_Component_aggregator!B:B,0))))</f>
        <v xml:space="preserve"> </v>
      </c>
      <c r="J127" t="str" cm="1">
        <f t="array" ref="J127">IF(F127=0," ",IF(ISBLANK(INDEX(Initial_Component_aggregator!H:H,MATCH(F127,Initial_Component_aggregator!B:B,0))),F127,INDEX(Initial_Component_aggregator!H:H,MATCH(F127,Initial_Component_aggregator!B:B,0))))</f>
        <v xml:space="preserve"> </v>
      </c>
      <c r="K127" t="str" cm="1">
        <f t="array" ref="K127">IF(F127=0," ",IF(ISBLANK(INDEX(Initial_Component_aggregator!H:H,MATCH(F127,Initial_Component_aggregator!B:B))),D127,INDEX(Initial_Component_aggregator!I:I,MATCH(J127,Initial_Component_aggregator!H:H))))</f>
        <v xml:space="preserve"> </v>
      </c>
      <c r="L127" t="str" cm="1">
        <f t="array" ref="L127">IF(F127=0," ",IF(ISBLANK(INDEX(Initial_Component_aggregator!H:H,MATCH(F127,Initial_Component_aggregator!B:B))),E127,INDEX(Initial_Component_aggregator!J:J,MATCH(J127,Initial_Component_aggregator!H:H))))</f>
        <v xml:space="preserve"> </v>
      </c>
      <c r="M127" t="str" cm="1">
        <f t="array" ref="M127">IF(F127=0," ",IF(ISBLANK(INDEX(Initial_Component_aggregator!H:H,MATCH(F127,Initial_Component_aggregator!B:B))),F127,INDEX(Initial_Component_aggregator!K:K,MATCH(J127,Initial_Component_aggregator!H:H))))</f>
        <v xml:space="preserve"> </v>
      </c>
    </row>
    <row r="128" spans="1:13" ht="36" customHeight="1">
      <c r="A128"/>
      <c r="B128"/>
      <c r="C128"/>
      <c r="D128"/>
      <c r="E128"/>
      <c r="F128"/>
      <c r="G128"/>
      <c r="H128" t="str">
        <f t="shared" si="1"/>
        <v xml:space="preserve"> </v>
      </c>
      <c r="I128" t="str" cm="1">
        <f t="array" ref="I128">IF(F128=0," ",IF(ISBLANK(INDEX(Initial_Component_aggregator!F:F,MATCH(F128,Initial_Component_aggregator!B:B,0))),"No change",INDEX(Initial_Component_aggregator!F:F,MATCH(F128,Initial_Component_aggregator!B:B,0))))</f>
        <v xml:space="preserve"> </v>
      </c>
      <c r="J128" t="str" cm="1">
        <f t="array" ref="J128">IF(F128=0," ",IF(ISBLANK(INDEX(Initial_Component_aggregator!H:H,MATCH(F128,Initial_Component_aggregator!B:B,0))),F128,INDEX(Initial_Component_aggregator!H:H,MATCH(F128,Initial_Component_aggregator!B:B,0))))</f>
        <v xml:space="preserve"> </v>
      </c>
      <c r="K128" t="str" cm="1">
        <f t="array" ref="K128">IF(F128=0," ",IF(ISBLANK(INDEX(Initial_Component_aggregator!H:H,MATCH(F128,Initial_Component_aggregator!B:B))),D128,INDEX(Initial_Component_aggregator!I:I,MATCH(J128,Initial_Component_aggregator!H:H))))</f>
        <v xml:space="preserve"> </v>
      </c>
      <c r="L128" t="str" cm="1">
        <f t="array" ref="L128">IF(F128=0," ",IF(ISBLANK(INDEX(Initial_Component_aggregator!H:H,MATCH(F128,Initial_Component_aggregator!B:B))),E128,INDEX(Initial_Component_aggregator!J:J,MATCH(J128,Initial_Component_aggregator!H:H))))</f>
        <v xml:space="preserve"> </v>
      </c>
      <c r="M128" t="str" cm="1">
        <f t="array" ref="M128">IF(F128=0," ",IF(ISBLANK(INDEX(Initial_Component_aggregator!H:H,MATCH(F128,Initial_Component_aggregator!B:B))),F128,INDEX(Initial_Component_aggregator!K:K,MATCH(J128,Initial_Component_aggregator!H:H))))</f>
        <v xml:space="preserve"> </v>
      </c>
    </row>
    <row r="129" spans="1:13" ht="36" customHeight="1">
      <c r="A129"/>
      <c r="B129"/>
      <c r="C129"/>
      <c r="D129"/>
      <c r="E129"/>
      <c r="F129"/>
      <c r="G129"/>
      <c r="H129" t="str">
        <f t="shared" si="1"/>
        <v xml:space="preserve"> </v>
      </c>
      <c r="I129" t="str" cm="1">
        <f t="array" ref="I129">IF(F129=0," ",IF(ISBLANK(INDEX(Initial_Component_aggregator!F:F,MATCH(F129,Initial_Component_aggregator!B:B,0))),"No change",INDEX(Initial_Component_aggregator!F:F,MATCH(F129,Initial_Component_aggregator!B:B,0))))</f>
        <v xml:space="preserve"> </v>
      </c>
      <c r="J129" t="str" cm="1">
        <f t="array" ref="J129">IF(F129=0," ",IF(ISBLANK(INDEX(Initial_Component_aggregator!H:H,MATCH(F129,Initial_Component_aggregator!B:B,0))),F129,INDEX(Initial_Component_aggregator!H:H,MATCH(F129,Initial_Component_aggregator!B:B,0))))</f>
        <v xml:space="preserve"> </v>
      </c>
      <c r="K129" t="str" cm="1">
        <f t="array" ref="K129">IF(F129=0," ",IF(ISBLANK(INDEX(Initial_Component_aggregator!H:H,MATCH(F129,Initial_Component_aggregator!B:B))),D129,INDEX(Initial_Component_aggregator!I:I,MATCH(J129,Initial_Component_aggregator!H:H))))</f>
        <v xml:space="preserve"> </v>
      </c>
      <c r="L129" t="str" cm="1">
        <f t="array" ref="L129">IF(F129=0," ",IF(ISBLANK(INDEX(Initial_Component_aggregator!H:H,MATCH(F129,Initial_Component_aggregator!B:B))),E129,INDEX(Initial_Component_aggregator!J:J,MATCH(J129,Initial_Component_aggregator!H:H))))</f>
        <v xml:space="preserve"> </v>
      </c>
      <c r="M129" t="str" cm="1">
        <f t="array" ref="M129">IF(F129=0," ",IF(ISBLANK(INDEX(Initial_Component_aggregator!H:H,MATCH(F129,Initial_Component_aggregator!B:B))),F129,INDEX(Initial_Component_aggregator!K:K,MATCH(J129,Initial_Component_aggregator!H:H))))</f>
        <v xml:space="preserve"> </v>
      </c>
    </row>
    <row r="130" spans="1:13" ht="36" customHeight="1">
      <c r="A130"/>
      <c r="B130"/>
      <c r="C130"/>
      <c r="D130"/>
      <c r="E130"/>
      <c r="F130"/>
      <c r="G130"/>
      <c r="H130" t="str">
        <f t="shared" si="1"/>
        <v xml:space="preserve"> </v>
      </c>
      <c r="I130" t="str" cm="1">
        <f t="array" ref="I130">IF(F130=0," ",IF(ISBLANK(INDEX(Initial_Component_aggregator!F:F,MATCH(F130,Initial_Component_aggregator!B:B,0))),"No change",INDEX(Initial_Component_aggregator!F:F,MATCH(F130,Initial_Component_aggregator!B:B,0))))</f>
        <v xml:space="preserve"> </v>
      </c>
      <c r="J130" t="str" cm="1">
        <f t="array" ref="J130">IF(F130=0," ",IF(ISBLANK(INDEX(Initial_Component_aggregator!H:H,MATCH(F130,Initial_Component_aggregator!B:B,0))),F130,INDEX(Initial_Component_aggregator!H:H,MATCH(F130,Initial_Component_aggregator!B:B,0))))</f>
        <v xml:space="preserve"> </v>
      </c>
      <c r="K130" t="str" cm="1">
        <f t="array" ref="K130">IF(F130=0," ",IF(ISBLANK(INDEX(Initial_Component_aggregator!H:H,MATCH(F130,Initial_Component_aggregator!B:B))),D130,INDEX(Initial_Component_aggregator!I:I,MATCH(J130,Initial_Component_aggregator!H:H))))</f>
        <v xml:space="preserve"> </v>
      </c>
      <c r="L130" t="str" cm="1">
        <f t="array" ref="L130">IF(F130=0," ",IF(ISBLANK(INDEX(Initial_Component_aggregator!H:H,MATCH(F130,Initial_Component_aggregator!B:B))),E130,INDEX(Initial_Component_aggregator!J:J,MATCH(J130,Initial_Component_aggregator!H:H))))</f>
        <v xml:space="preserve"> </v>
      </c>
      <c r="M130" t="str" cm="1">
        <f t="array" ref="M130">IF(F130=0," ",IF(ISBLANK(INDEX(Initial_Component_aggregator!H:H,MATCH(F130,Initial_Component_aggregator!B:B))),F130,INDEX(Initial_Component_aggregator!K:K,MATCH(J130,Initial_Component_aggregator!H:H))))</f>
        <v xml:space="preserve"> </v>
      </c>
    </row>
    <row r="131" spans="1:13" ht="36" customHeight="1">
      <c r="A131"/>
      <c r="B131"/>
      <c r="C131"/>
      <c r="D131"/>
      <c r="E131"/>
      <c r="F131"/>
      <c r="G131"/>
      <c r="H131" t="str">
        <f t="shared" ref="H131:H194" si="2">IF(F131=0," ",(AND(IF(J131=F131,0,1),F131&lt;&gt;0)))</f>
        <v xml:space="preserve"> </v>
      </c>
      <c r="I131" t="str" cm="1">
        <f t="array" ref="I131">IF(F131=0," ",IF(ISBLANK(INDEX(Initial_Component_aggregator!F:F,MATCH(F131,Initial_Component_aggregator!B:B,0))),"No change",INDEX(Initial_Component_aggregator!F:F,MATCH(F131,Initial_Component_aggregator!B:B,0))))</f>
        <v xml:space="preserve"> </v>
      </c>
      <c r="J131" t="str" cm="1">
        <f t="array" ref="J131">IF(F131=0," ",IF(ISBLANK(INDEX(Initial_Component_aggregator!H:H,MATCH(F131,Initial_Component_aggregator!B:B,0))),F131,INDEX(Initial_Component_aggregator!H:H,MATCH(F131,Initial_Component_aggregator!B:B,0))))</f>
        <v xml:space="preserve"> </v>
      </c>
      <c r="K131" t="str" cm="1">
        <f t="array" ref="K131">IF(F131=0," ",IF(ISBLANK(INDEX(Initial_Component_aggregator!H:H,MATCH(F131,Initial_Component_aggregator!B:B))),D131,INDEX(Initial_Component_aggregator!I:I,MATCH(J131,Initial_Component_aggregator!H:H))))</f>
        <v xml:space="preserve"> </v>
      </c>
      <c r="L131" t="str" cm="1">
        <f t="array" ref="L131">IF(F131=0," ",IF(ISBLANK(INDEX(Initial_Component_aggregator!H:H,MATCH(F131,Initial_Component_aggregator!B:B))),E131,INDEX(Initial_Component_aggregator!J:J,MATCH(J131,Initial_Component_aggregator!H:H))))</f>
        <v xml:space="preserve"> </v>
      </c>
      <c r="M131" t="str" cm="1">
        <f t="array" ref="M131">IF(F131=0," ",IF(ISBLANK(INDEX(Initial_Component_aggregator!H:H,MATCH(F131,Initial_Component_aggregator!B:B))),F131,INDEX(Initial_Component_aggregator!K:K,MATCH(J131,Initial_Component_aggregator!H:H))))</f>
        <v xml:space="preserve"> </v>
      </c>
    </row>
    <row r="132" spans="1:13" ht="36" customHeight="1">
      <c r="A132"/>
      <c r="B132"/>
      <c r="C132"/>
      <c r="D132"/>
      <c r="E132"/>
      <c r="F132"/>
      <c r="G132"/>
      <c r="H132" t="str">
        <f t="shared" si="2"/>
        <v xml:space="preserve"> </v>
      </c>
      <c r="I132" t="str" cm="1">
        <f t="array" ref="I132">IF(F132=0," ",IF(ISBLANK(INDEX(Initial_Component_aggregator!F:F,MATCH(F132,Initial_Component_aggregator!B:B,0))),"No change",INDEX(Initial_Component_aggregator!F:F,MATCH(F132,Initial_Component_aggregator!B:B,0))))</f>
        <v xml:space="preserve"> </v>
      </c>
      <c r="J132" t="str" cm="1">
        <f t="array" ref="J132">IF(F132=0," ",IF(ISBLANK(INDEX(Initial_Component_aggregator!H:H,MATCH(F132,Initial_Component_aggregator!B:B,0))),F132,INDEX(Initial_Component_aggregator!H:H,MATCH(F132,Initial_Component_aggregator!B:B,0))))</f>
        <v xml:space="preserve"> </v>
      </c>
      <c r="K132" t="str" cm="1">
        <f t="array" ref="K132">IF(F132=0," ",IF(ISBLANK(INDEX(Initial_Component_aggregator!H:H,MATCH(F132,Initial_Component_aggregator!B:B))),D132,INDEX(Initial_Component_aggregator!I:I,MATCH(J132,Initial_Component_aggregator!H:H))))</f>
        <v xml:space="preserve"> </v>
      </c>
      <c r="L132" t="str" cm="1">
        <f t="array" ref="L132">IF(F132=0," ",IF(ISBLANK(INDEX(Initial_Component_aggregator!H:H,MATCH(F132,Initial_Component_aggregator!B:B))),E132,INDEX(Initial_Component_aggregator!J:J,MATCH(J132,Initial_Component_aggregator!H:H))))</f>
        <v xml:space="preserve"> </v>
      </c>
      <c r="M132" t="str" cm="1">
        <f t="array" ref="M132">IF(F132=0," ",IF(ISBLANK(INDEX(Initial_Component_aggregator!H:H,MATCH(F132,Initial_Component_aggregator!B:B))),F132,INDEX(Initial_Component_aggregator!K:K,MATCH(J132,Initial_Component_aggregator!H:H))))</f>
        <v xml:space="preserve"> </v>
      </c>
    </row>
    <row r="133" spans="1:13" ht="36" customHeight="1">
      <c r="A133"/>
      <c r="B133"/>
      <c r="C133"/>
      <c r="D133"/>
      <c r="E133"/>
      <c r="F133"/>
      <c r="G133"/>
      <c r="H133" t="str">
        <f t="shared" si="2"/>
        <v xml:space="preserve"> </v>
      </c>
      <c r="I133" t="str" cm="1">
        <f t="array" ref="I133">IF(F133=0," ",IF(ISBLANK(INDEX(Initial_Component_aggregator!F:F,MATCH(F133,Initial_Component_aggregator!B:B,0))),"No change",INDEX(Initial_Component_aggregator!F:F,MATCH(F133,Initial_Component_aggregator!B:B,0))))</f>
        <v xml:space="preserve"> </v>
      </c>
      <c r="J133" t="str" cm="1">
        <f t="array" ref="J133">IF(F133=0," ",IF(ISBLANK(INDEX(Initial_Component_aggregator!H:H,MATCH(F133,Initial_Component_aggregator!B:B,0))),F133,INDEX(Initial_Component_aggregator!H:H,MATCH(F133,Initial_Component_aggregator!B:B,0))))</f>
        <v xml:space="preserve"> </v>
      </c>
      <c r="K133" t="str" cm="1">
        <f t="array" ref="K133">IF(F133=0," ",IF(ISBLANK(INDEX(Initial_Component_aggregator!H:H,MATCH(F133,Initial_Component_aggregator!B:B))),D133,INDEX(Initial_Component_aggregator!I:I,MATCH(J133,Initial_Component_aggregator!H:H))))</f>
        <v xml:space="preserve"> </v>
      </c>
      <c r="L133" t="str" cm="1">
        <f t="array" ref="L133">IF(F133=0," ",IF(ISBLANK(INDEX(Initial_Component_aggregator!H:H,MATCH(F133,Initial_Component_aggregator!B:B))),E133,INDEX(Initial_Component_aggregator!J:J,MATCH(J133,Initial_Component_aggregator!H:H))))</f>
        <v xml:space="preserve"> </v>
      </c>
      <c r="M133" t="str" cm="1">
        <f t="array" ref="M133">IF(F133=0," ",IF(ISBLANK(INDEX(Initial_Component_aggregator!H:H,MATCH(F133,Initial_Component_aggregator!B:B))),F133,INDEX(Initial_Component_aggregator!K:K,MATCH(J133,Initial_Component_aggregator!H:H))))</f>
        <v xml:space="preserve"> </v>
      </c>
    </row>
    <row r="134" spans="1:13" ht="36" customHeight="1">
      <c r="A134"/>
      <c r="B134"/>
      <c r="C134"/>
      <c r="D134"/>
      <c r="E134"/>
      <c r="F134"/>
      <c r="G134"/>
      <c r="H134" t="str">
        <f t="shared" si="2"/>
        <v xml:space="preserve"> </v>
      </c>
      <c r="I134" t="str" cm="1">
        <f t="array" ref="I134">IF(F134=0," ",IF(ISBLANK(INDEX(Initial_Component_aggregator!F:F,MATCH(F134,Initial_Component_aggregator!B:B,0))),"No change",INDEX(Initial_Component_aggregator!F:F,MATCH(F134,Initial_Component_aggregator!B:B,0))))</f>
        <v xml:space="preserve"> </v>
      </c>
      <c r="J134" t="str" cm="1">
        <f t="array" ref="J134">IF(F134=0," ",IF(ISBLANK(INDEX(Initial_Component_aggregator!H:H,MATCH(F134,Initial_Component_aggregator!B:B,0))),F134,INDEX(Initial_Component_aggregator!H:H,MATCH(F134,Initial_Component_aggregator!B:B,0))))</f>
        <v xml:space="preserve"> </v>
      </c>
      <c r="K134" t="str" cm="1">
        <f t="array" ref="K134">IF(F134=0," ",IF(ISBLANK(INDEX(Initial_Component_aggregator!H:H,MATCH(F134,Initial_Component_aggregator!B:B))),D134,INDEX(Initial_Component_aggregator!I:I,MATCH(J134,Initial_Component_aggregator!H:H))))</f>
        <v xml:space="preserve"> </v>
      </c>
      <c r="L134" t="str" cm="1">
        <f t="array" ref="L134">IF(F134=0," ",IF(ISBLANK(INDEX(Initial_Component_aggregator!H:H,MATCH(F134,Initial_Component_aggregator!B:B))),E134,INDEX(Initial_Component_aggregator!J:J,MATCH(J134,Initial_Component_aggregator!H:H))))</f>
        <v xml:space="preserve"> </v>
      </c>
      <c r="M134" t="str" cm="1">
        <f t="array" ref="M134">IF(F134=0," ",IF(ISBLANK(INDEX(Initial_Component_aggregator!H:H,MATCH(F134,Initial_Component_aggregator!B:B))),F134,INDEX(Initial_Component_aggregator!K:K,MATCH(J134,Initial_Component_aggregator!H:H))))</f>
        <v xml:space="preserve"> </v>
      </c>
    </row>
    <row r="135" spans="1:13" ht="36" customHeight="1">
      <c r="A135"/>
      <c r="B135"/>
      <c r="C135"/>
      <c r="D135"/>
      <c r="E135"/>
      <c r="F135"/>
      <c r="G135"/>
      <c r="H135" t="str">
        <f t="shared" si="2"/>
        <v xml:space="preserve"> </v>
      </c>
      <c r="I135" t="str" cm="1">
        <f t="array" ref="I135">IF(F135=0," ",IF(ISBLANK(INDEX(Initial_Component_aggregator!F:F,MATCH(F135,Initial_Component_aggregator!B:B,0))),"No change",INDEX(Initial_Component_aggregator!F:F,MATCH(F135,Initial_Component_aggregator!B:B,0))))</f>
        <v xml:space="preserve"> </v>
      </c>
      <c r="J135" t="str" cm="1">
        <f t="array" ref="J135">IF(F135=0," ",IF(ISBLANK(INDEX(Initial_Component_aggregator!H:H,MATCH(F135,Initial_Component_aggregator!B:B,0))),F135,INDEX(Initial_Component_aggregator!H:H,MATCH(F135,Initial_Component_aggregator!B:B,0))))</f>
        <v xml:space="preserve"> </v>
      </c>
      <c r="K135" t="str" cm="1">
        <f t="array" ref="K135">IF(F135=0," ",IF(ISBLANK(INDEX(Initial_Component_aggregator!H:H,MATCH(F135,Initial_Component_aggregator!B:B))),D135,INDEX(Initial_Component_aggregator!I:I,MATCH(J135,Initial_Component_aggregator!H:H))))</f>
        <v xml:space="preserve"> </v>
      </c>
      <c r="L135" t="str" cm="1">
        <f t="array" ref="L135">IF(F135=0," ",IF(ISBLANK(INDEX(Initial_Component_aggregator!H:H,MATCH(F135,Initial_Component_aggregator!B:B))),E135,INDEX(Initial_Component_aggregator!J:J,MATCH(J135,Initial_Component_aggregator!H:H))))</f>
        <v xml:space="preserve"> </v>
      </c>
      <c r="M135" t="str" cm="1">
        <f t="array" ref="M135">IF(F135=0," ",IF(ISBLANK(INDEX(Initial_Component_aggregator!H:H,MATCH(F135,Initial_Component_aggregator!B:B))),F135,INDEX(Initial_Component_aggregator!K:K,MATCH(J135,Initial_Component_aggregator!H:H))))</f>
        <v xml:space="preserve"> </v>
      </c>
    </row>
    <row r="136" spans="1:13" ht="36" customHeight="1">
      <c r="A136"/>
      <c r="B136"/>
      <c r="C136"/>
      <c r="D136"/>
      <c r="E136"/>
      <c r="F136"/>
      <c r="G136"/>
      <c r="H136" t="str">
        <f t="shared" si="2"/>
        <v xml:space="preserve"> </v>
      </c>
      <c r="I136" t="str" cm="1">
        <f t="array" ref="I136">IF(F136=0," ",IF(ISBLANK(INDEX(Initial_Component_aggregator!F:F,MATCH(F136,Initial_Component_aggregator!B:B,0))),"No change",INDEX(Initial_Component_aggregator!F:F,MATCH(F136,Initial_Component_aggregator!B:B,0))))</f>
        <v xml:space="preserve"> </v>
      </c>
      <c r="J136" t="str" cm="1">
        <f t="array" ref="J136">IF(F136=0," ",IF(ISBLANK(INDEX(Initial_Component_aggregator!H:H,MATCH(F136,Initial_Component_aggregator!B:B,0))),F136,INDEX(Initial_Component_aggregator!H:H,MATCH(F136,Initial_Component_aggregator!B:B,0))))</f>
        <v xml:space="preserve"> </v>
      </c>
      <c r="K136" t="str" cm="1">
        <f t="array" ref="K136">IF(F136=0," ",IF(ISBLANK(INDEX(Initial_Component_aggregator!H:H,MATCH(F136,Initial_Component_aggregator!B:B))),D136,INDEX(Initial_Component_aggregator!I:I,MATCH(J136,Initial_Component_aggregator!H:H))))</f>
        <v xml:space="preserve"> </v>
      </c>
      <c r="L136" t="str" cm="1">
        <f t="array" ref="L136">IF(F136=0," ",IF(ISBLANK(INDEX(Initial_Component_aggregator!H:H,MATCH(F136,Initial_Component_aggregator!B:B))),E136,INDEX(Initial_Component_aggregator!J:J,MATCH(J136,Initial_Component_aggregator!H:H))))</f>
        <v xml:space="preserve"> </v>
      </c>
      <c r="M136" t="str" cm="1">
        <f t="array" ref="M136">IF(F136=0," ",IF(ISBLANK(INDEX(Initial_Component_aggregator!H:H,MATCH(F136,Initial_Component_aggregator!B:B))),F136,INDEX(Initial_Component_aggregator!K:K,MATCH(J136,Initial_Component_aggregator!H:H))))</f>
        <v xml:space="preserve"> </v>
      </c>
    </row>
    <row r="137" spans="1:13" ht="36" customHeight="1">
      <c r="A137"/>
      <c r="B137"/>
      <c r="C137"/>
      <c r="D137"/>
      <c r="E137"/>
      <c r="F137"/>
      <c r="G137"/>
      <c r="H137" t="str">
        <f t="shared" si="2"/>
        <v xml:space="preserve"> </v>
      </c>
      <c r="I137" t="str" cm="1">
        <f t="array" ref="I137">IF(F137=0," ",IF(ISBLANK(INDEX(Initial_Component_aggregator!F:F,MATCH(F137,Initial_Component_aggregator!B:B,0))),"No change",INDEX(Initial_Component_aggregator!F:F,MATCH(F137,Initial_Component_aggregator!B:B,0))))</f>
        <v xml:space="preserve"> </v>
      </c>
      <c r="J137" t="str" cm="1">
        <f t="array" ref="J137">IF(F137=0," ",IF(ISBLANK(INDEX(Initial_Component_aggregator!H:H,MATCH(F137,Initial_Component_aggregator!B:B,0))),F137,INDEX(Initial_Component_aggregator!H:H,MATCH(F137,Initial_Component_aggregator!B:B,0))))</f>
        <v xml:space="preserve"> </v>
      </c>
      <c r="K137" t="str" cm="1">
        <f t="array" ref="K137">IF(F137=0," ",IF(ISBLANK(INDEX(Initial_Component_aggregator!H:H,MATCH(F137,Initial_Component_aggregator!B:B))),D137,INDEX(Initial_Component_aggregator!I:I,MATCH(J137,Initial_Component_aggregator!H:H))))</f>
        <v xml:space="preserve"> </v>
      </c>
      <c r="L137" t="str" cm="1">
        <f t="array" ref="L137">IF(F137=0," ",IF(ISBLANK(INDEX(Initial_Component_aggregator!H:H,MATCH(F137,Initial_Component_aggregator!B:B))),E137,INDEX(Initial_Component_aggregator!J:J,MATCH(J137,Initial_Component_aggregator!H:H))))</f>
        <v xml:space="preserve"> </v>
      </c>
      <c r="M137" t="str" cm="1">
        <f t="array" ref="M137">IF(F137=0," ",IF(ISBLANK(INDEX(Initial_Component_aggregator!H:H,MATCH(F137,Initial_Component_aggregator!B:B))),F137,INDEX(Initial_Component_aggregator!K:K,MATCH(J137,Initial_Component_aggregator!H:H))))</f>
        <v xml:space="preserve"> </v>
      </c>
    </row>
    <row r="138" spans="1:13" ht="36" customHeight="1">
      <c r="A138"/>
      <c r="B138"/>
      <c r="C138"/>
      <c r="D138"/>
      <c r="E138"/>
      <c r="F138"/>
      <c r="G138"/>
      <c r="H138" t="str">
        <f t="shared" si="2"/>
        <v xml:space="preserve"> </v>
      </c>
      <c r="I138" t="str" cm="1">
        <f t="array" ref="I138">IF(F138=0," ",IF(ISBLANK(INDEX(Initial_Component_aggregator!F:F,MATCH(F138,Initial_Component_aggregator!B:B,0))),"No change",INDEX(Initial_Component_aggregator!F:F,MATCH(F138,Initial_Component_aggregator!B:B,0))))</f>
        <v xml:space="preserve"> </v>
      </c>
      <c r="J138" t="str" cm="1">
        <f t="array" ref="J138">IF(F138=0," ",IF(ISBLANK(INDEX(Initial_Component_aggregator!H:H,MATCH(F138,Initial_Component_aggregator!B:B,0))),F138,INDEX(Initial_Component_aggregator!H:H,MATCH(F138,Initial_Component_aggregator!B:B,0))))</f>
        <v xml:space="preserve"> </v>
      </c>
      <c r="K138" t="str" cm="1">
        <f t="array" ref="K138">IF(F138=0," ",IF(ISBLANK(INDEX(Initial_Component_aggregator!H:H,MATCH(F138,Initial_Component_aggregator!B:B))),D138,INDEX(Initial_Component_aggregator!I:I,MATCH(J138,Initial_Component_aggregator!H:H))))</f>
        <v xml:space="preserve"> </v>
      </c>
      <c r="L138" t="str" cm="1">
        <f t="array" ref="L138">IF(F138=0," ",IF(ISBLANK(INDEX(Initial_Component_aggregator!H:H,MATCH(F138,Initial_Component_aggregator!B:B))),E138,INDEX(Initial_Component_aggregator!J:J,MATCH(J138,Initial_Component_aggregator!H:H))))</f>
        <v xml:space="preserve"> </v>
      </c>
      <c r="M138" t="str" cm="1">
        <f t="array" ref="M138">IF(F138=0," ",IF(ISBLANK(INDEX(Initial_Component_aggregator!H:H,MATCH(F138,Initial_Component_aggregator!B:B))),F138,INDEX(Initial_Component_aggregator!K:K,MATCH(J138,Initial_Component_aggregator!H:H))))</f>
        <v xml:space="preserve"> </v>
      </c>
    </row>
    <row r="139" spans="1:13" ht="36" customHeight="1">
      <c r="A139"/>
      <c r="B139"/>
      <c r="C139"/>
      <c r="D139"/>
      <c r="E139"/>
      <c r="F139"/>
      <c r="G139"/>
      <c r="H139" t="str">
        <f t="shared" si="2"/>
        <v xml:space="preserve"> </v>
      </c>
      <c r="I139" t="str" cm="1">
        <f t="array" ref="I139">IF(F139=0," ",IF(ISBLANK(INDEX(Initial_Component_aggregator!F:F,MATCH(F139,Initial_Component_aggregator!B:B,0))),"No change",INDEX(Initial_Component_aggregator!F:F,MATCH(F139,Initial_Component_aggregator!B:B,0))))</f>
        <v xml:space="preserve"> </v>
      </c>
      <c r="J139" t="str" cm="1">
        <f t="array" ref="J139">IF(F139=0," ",IF(ISBLANK(INDEX(Initial_Component_aggregator!H:H,MATCH(F139,Initial_Component_aggregator!B:B,0))),F139,INDEX(Initial_Component_aggregator!H:H,MATCH(F139,Initial_Component_aggregator!B:B,0))))</f>
        <v xml:space="preserve"> </v>
      </c>
      <c r="K139" t="str" cm="1">
        <f t="array" ref="K139">IF(F139=0," ",IF(ISBLANK(INDEX(Initial_Component_aggregator!H:H,MATCH(F139,Initial_Component_aggregator!B:B))),D139,INDEX(Initial_Component_aggregator!I:I,MATCH(J139,Initial_Component_aggregator!H:H))))</f>
        <v xml:space="preserve"> </v>
      </c>
      <c r="L139" t="str" cm="1">
        <f t="array" ref="L139">IF(F139=0," ",IF(ISBLANK(INDEX(Initial_Component_aggregator!H:H,MATCH(F139,Initial_Component_aggregator!B:B))),E139,INDEX(Initial_Component_aggregator!J:J,MATCH(J139,Initial_Component_aggregator!H:H))))</f>
        <v xml:space="preserve"> </v>
      </c>
      <c r="M139" t="str" cm="1">
        <f t="array" ref="M139">IF(F139=0," ",IF(ISBLANK(INDEX(Initial_Component_aggregator!H:H,MATCH(F139,Initial_Component_aggregator!B:B))),F139,INDEX(Initial_Component_aggregator!K:K,MATCH(J139,Initial_Component_aggregator!H:H))))</f>
        <v xml:space="preserve"> </v>
      </c>
    </row>
    <row r="140" spans="1:13" ht="36" customHeight="1">
      <c r="A140"/>
      <c r="B140"/>
      <c r="C140"/>
      <c r="D140"/>
      <c r="E140"/>
      <c r="F140"/>
      <c r="G140"/>
      <c r="H140" t="str">
        <f t="shared" si="2"/>
        <v xml:space="preserve"> </v>
      </c>
      <c r="I140" t="str" cm="1">
        <f t="array" ref="I140">IF(F140=0," ",IF(ISBLANK(INDEX(Initial_Component_aggregator!F:F,MATCH(F140,Initial_Component_aggregator!B:B,0))),"No change",INDEX(Initial_Component_aggregator!F:F,MATCH(F140,Initial_Component_aggregator!B:B,0))))</f>
        <v xml:space="preserve"> </v>
      </c>
      <c r="J140" t="str" cm="1">
        <f t="array" ref="J140">IF(F140=0," ",IF(ISBLANK(INDEX(Initial_Component_aggregator!H:H,MATCH(F140,Initial_Component_aggregator!B:B,0))),F140,INDEX(Initial_Component_aggregator!H:H,MATCH(F140,Initial_Component_aggregator!B:B,0))))</f>
        <v xml:space="preserve"> </v>
      </c>
      <c r="K140" t="str" cm="1">
        <f t="array" ref="K140">IF(F140=0," ",IF(ISBLANK(INDEX(Initial_Component_aggregator!H:H,MATCH(F140,Initial_Component_aggregator!B:B))),D140,INDEX(Initial_Component_aggregator!I:I,MATCH(J140,Initial_Component_aggregator!H:H))))</f>
        <v xml:space="preserve"> </v>
      </c>
      <c r="L140" t="str" cm="1">
        <f t="array" ref="L140">IF(F140=0," ",IF(ISBLANK(INDEX(Initial_Component_aggregator!H:H,MATCH(F140,Initial_Component_aggregator!B:B))),E140,INDEX(Initial_Component_aggregator!J:J,MATCH(J140,Initial_Component_aggregator!H:H))))</f>
        <v xml:space="preserve"> </v>
      </c>
      <c r="M140" t="str" cm="1">
        <f t="array" ref="M140">IF(F140=0," ",IF(ISBLANK(INDEX(Initial_Component_aggregator!H:H,MATCH(F140,Initial_Component_aggregator!B:B))),F140,INDEX(Initial_Component_aggregator!K:K,MATCH(J140,Initial_Component_aggregator!H:H))))</f>
        <v xml:space="preserve"> </v>
      </c>
    </row>
    <row r="141" spans="1:13" ht="36" customHeight="1">
      <c r="A141"/>
      <c r="B141"/>
      <c r="C141"/>
      <c r="D141"/>
      <c r="E141"/>
      <c r="F141"/>
      <c r="G141"/>
      <c r="H141" t="str">
        <f t="shared" si="2"/>
        <v xml:space="preserve"> </v>
      </c>
      <c r="I141" t="str" cm="1">
        <f t="array" ref="I141">IF(F141=0," ",IF(ISBLANK(INDEX(Initial_Component_aggregator!F:F,MATCH(F141,Initial_Component_aggregator!B:B,0))),"No change",INDEX(Initial_Component_aggregator!F:F,MATCH(F141,Initial_Component_aggregator!B:B,0))))</f>
        <v xml:space="preserve"> </v>
      </c>
      <c r="J141" t="str" cm="1">
        <f t="array" ref="J141">IF(F141=0," ",IF(ISBLANK(INDEX(Initial_Component_aggregator!H:H,MATCH(F141,Initial_Component_aggregator!B:B,0))),F141,INDEX(Initial_Component_aggregator!H:H,MATCH(F141,Initial_Component_aggregator!B:B,0))))</f>
        <v xml:space="preserve"> </v>
      </c>
      <c r="K141" t="str" cm="1">
        <f t="array" ref="K141">IF(F141=0," ",IF(ISBLANK(INDEX(Initial_Component_aggregator!H:H,MATCH(F141,Initial_Component_aggregator!B:B))),D141,INDEX(Initial_Component_aggregator!I:I,MATCH(J141,Initial_Component_aggregator!H:H))))</f>
        <v xml:space="preserve"> </v>
      </c>
      <c r="L141" t="str" cm="1">
        <f t="array" ref="L141">IF(F141=0," ",IF(ISBLANK(INDEX(Initial_Component_aggregator!H:H,MATCH(F141,Initial_Component_aggregator!B:B))),E141,INDEX(Initial_Component_aggregator!J:J,MATCH(J141,Initial_Component_aggregator!H:H))))</f>
        <v xml:space="preserve"> </v>
      </c>
      <c r="M141" t="str" cm="1">
        <f t="array" ref="M141">IF(F141=0," ",IF(ISBLANK(INDEX(Initial_Component_aggregator!H:H,MATCH(F141,Initial_Component_aggregator!B:B))),F141,INDEX(Initial_Component_aggregator!K:K,MATCH(J141,Initial_Component_aggregator!H:H))))</f>
        <v xml:space="preserve"> </v>
      </c>
    </row>
    <row r="142" spans="1:13" ht="36" customHeight="1">
      <c r="A142"/>
      <c r="B142"/>
      <c r="C142"/>
      <c r="D142"/>
      <c r="E142"/>
      <c r="F142"/>
      <c r="G142"/>
      <c r="H142" t="str">
        <f t="shared" si="2"/>
        <v xml:space="preserve"> </v>
      </c>
      <c r="I142" t="str" cm="1">
        <f t="array" ref="I142">IF(F142=0," ",IF(ISBLANK(INDEX(Initial_Component_aggregator!F:F,MATCH(F142,Initial_Component_aggregator!B:B,0))),"No change",INDEX(Initial_Component_aggregator!F:F,MATCH(F142,Initial_Component_aggregator!B:B,0))))</f>
        <v xml:space="preserve"> </v>
      </c>
      <c r="J142" t="str" cm="1">
        <f t="array" ref="J142">IF(F142=0," ",IF(ISBLANK(INDEX(Initial_Component_aggregator!H:H,MATCH(F142,Initial_Component_aggregator!B:B,0))),F142,INDEX(Initial_Component_aggregator!H:H,MATCH(F142,Initial_Component_aggregator!B:B,0))))</f>
        <v xml:space="preserve"> </v>
      </c>
      <c r="K142" t="str" cm="1">
        <f t="array" ref="K142">IF(F142=0," ",IF(ISBLANK(INDEX(Initial_Component_aggregator!H:H,MATCH(F142,Initial_Component_aggregator!B:B))),D142,INDEX(Initial_Component_aggregator!I:I,MATCH(J142,Initial_Component_aggregator!H:H))))</f>
        <v xml:space="preserve"> </v>
      </c>
      <c r="L142" t="str" cm="1">
        <f t="array" ref="L142">IF(F142=0," ",IF(ISBLANK(INDEX(Initial_Component_aggregator!H:H,MATCH(F142,Initial_Component_aggregator!B:B))),E142,INDEX(Initial_Component_aggregator!J:J,MATCH(J142,Initial_Component_aggregator!H:H))))</f>
        <v xml:space="preserve"> </v>
      </c>
      <c r="M142" t="str" cm="1">
        <f t="array" ref="M142">IF(F142=0," ",IF(ISBLANK(INDEX(Initial_Component_aggregator!H:H,MATCH(F142,Initial_Component_aggregator!B:B))),F142,INDEX(Initial_Component_aggregator!K:K,MATCH(J142,Initial_Component_aggregator!H:H))))</f>
        <v xml:space="preserve"> </v>
      </c>
    </row>
    <row r="143" spans="1:13" ht="36" customHeight="1">
      <c r="A143"/>
      <c r="B143"/>
      <c r="C143"/>
      <c r="D143"/>
      <c r="E143"/>
      <c r="F143"/>
      <c r="G143"/>
      <c r="H143" t="str">
        <f t="shared" si="2"/>
        <v xml:space="preserve"> </v>
      </c>
      <c r="I143" t="str" cm="1">
        <f t="array" ref="I143">IF(F143=0," ",IF(ISBLANK(INDEX(Initial_Component_aggregator!F:F,MATCH(F143,Initial_Component_aggregator!B:B,0))),"No change",INDEX(Initial_Component_aggregator!F:F,MATCH(F143,Initial_Component_aggregator!B:B,0))))</f>
        <v xml:space="preserve"> </v>
      </c>
      <c r="J143" t="str" cm="1">
        <f t="array" ref="J143">IF(F143=0," ",IF(ISBLANK(INDEX(Initial_Component_aggregator!H:H,MATCH(F143,Initial_Component_aggregator!B:B,0))),F143,INDEX(Initial_Component_aggregator!H:H,MATCH(F143,Initial_Component_aggregator!B:B,0))))</f>
        <v xml:space="preserve"> </v>
      </c>
      <c r="K143" t="str" cm="1">
        <f t="array" ref="K143">IF(F143=0," ",IF(ISBLANK(INDEX(Initial_Component_aggregator!H:H,MATCH(F143,Initial_Component_aggregator!B:B))),D143,INDEX(Initial_Component_aggregator!I:I,MATCH(J143,Initial_Component_aggregator!H:H))))</f>
        <v xml:space="preserve"> </v>
      </c>
      <c r="L143" t="str" cm="1">
        <f t="array" ref="L143">IF(F143=0," ",IF(ISBLANK(INDEX(Initial_Component_aggregator!H:H,MATCH(F143,Initial_Component_aggregator!B:B))),E143,INDEX(Initial_Component_aggregator!J:J,MATCH(J143,Initial_Component_aggregator!H:H))))</f>
        <v xml:space="preserve"> </v>
      </c>
      <c r="M143" t="str" cm="1">
        <f t="array" ref="M143">IF(F143=0," ",IF(ISBLANK(INDEX(Initial_Component_aggregator!H:H,MATCH(F143,Initial_Component_aggregator!B:B))),F143,INDEX(Initial_Component_aggregator!K:K,MATCH(J143,Initial_Component_aggregator!H:H))))</f>
        <v xml:space="preserve"> </v>
      </c>
    </row>
    <row r="144" spans="1:13" ht="36" customHeight="1">
      <c r="A144"/>
      <c r="B144"/>
      <c r="C144"/>
      <c r="D144"/>
      <c r="E144"/>
      <c r="F144"/>
      <c r="G144"/>
      <c r="H144" t="str">
        <f t="shared" si="2"/>
        <v xml:space="preserve"> </v>
      </c>
      <c r="I144" t="str" cm="1">
        <f t="array" ref="I144">IF(F144=0," ",IF(ISBLANK(INDEX(Initial_Component_aggregator!F:F,MATCH(F144,Initial_Component_aggregator!B:B,0))),"No change",INDEX(Initial_Component_aggregator!F:F,MATCH(F144,Initial_Component_aggregator!B:B,0))))</f>
        <v xml:space="preserve"> </v>
      </c>
      <c r="J144" t="str" cm="1">
        <f t="array" ref="J144">IF(F144=0," ",IF(ISBLANK(INDEX(Initial_Component_aggregator!H:H,MATCH(F144,Initial_Component_aggregator!B:B,0))),F144,INDEX(Initial_Component_aggregator!H:H,MATCH(F144,Initial_Component_aggregator!B:B,0))))</f>
        <v xml:space="preserve"> </v>
      </c>
      <c r="K144" t="str" cm="1">
        <f t="array" ref="K144">IF(F144=0," ",IF(ISBLANK(INDEX(Initial_Component_aggregator!H:H,MATCH(F144,Initial_Component_aggregator!B:B))),D144,INDEX(Initial_Component_aggregator!I:I,MATCH(J144,Initial_Component_aggregator!H:H))))</f>
        <v xml:space="preserve"> </v>
      </c>
      <c r="L144" t="str" cm="1">
        <f t="array" ref="L144">IF(F144=0," ",IF(ISBLANK(INDEX(Initial_Component_aggregator!H:H,MATCH(F144,Initial_Component_aggregator!B:B))),E144,INDEX(Initial_Component_aggregator!J:J,MATCH(J144,Initial_Component_aggregator!H:H))))</f>
        <v xml:space="preserve"> </v>
      </c>
      <c r="M144" t="str" cm="1">
        <f t="array" ref="M144">IF(F144=0," ",IF(ISBLANK(INDEX(Initial_Component_aggregator!H:H,MATCH(F144,Initial_Component_aggregator!B:B))),F144,INDEX(Initial_Component_aggregator!K:K,MATCH(J144,Initial_Component_aggregator!H:H))))</f>
        <v xml:space="preserve"> </v>
      </c>
    </row>
    <row r="145" spans="1:13" ht="36" customHeight="1">
      <c r="A145"/>
      <c r="B145"/>
      <c r="C145"/>
      <c r="D145"/>
      <c r="E145"/>
      <c r="F145"/>
      <c r="G145"/>
      <c r="H145" t="str">
        <f t="shared" si="2"/>
        <v xml:space="preserve"> </v>
      </c>
      <c r="I145" t="str" cm="1">
        <f t="array" ref="I145">IF(F145=0," ",IF(ISBLANK(INDEX(Initial_Component_aggregator!F:F,MATCH(F145,Initial_Component_aggregator!B:B,0))),"No change",INDEX(Initial_Component_aggregator!F:F,MATCH(F145,Initial_Component_aggregator!B:B,0))))</f>
        <v xml:space="preserve"> </v>
      </c>
      <c r="J145" t="str" cm="1">
        <f t="array" ref="J145">IF(F145=0," ",IF(ISBLANK(INDEX(Initial_Component_aggregator!H:H,MATCH(F145,Initial_Component_aggregator!B:B,0))),F145,INDEX(Initial_Component_aggregator!H:H,MATCH(F145,Initial_Component_aggregator!B:B,0))))</f>
        <v xml:space="preserve"> </v>
      </c>
      <c r="K145" t="str" cm="1">
        <f t="array" ref="K145">IF(F145=0," ",IF(ISBLANK(INDEX(Initial_Component_aggregator!H:H,MATCH(F145,Initial_Component_aggregator!B:B))),D145,INDEX(Initial_Component_aggregator!I:I,MATCH(J145,Initial_Component_aggregator!H:H))))</f>
        <v xml:space="preserve"> </v>
      </c>
      <c r="L145" t="str" cm="1">
        <f t="array" ref="L145">IF(F145=0," ",IF(ISBLANK(INDEX(Initial_Component_aggregator!H:H,MATCH(F145,Initial_Component_aggregator!B:B))),E145,INDEX(Initial_Component_aggregator!J:J,MATCH(J145,Initial_Component_aggregator!H:H))))</f>
        <v xml:space="preserve"> </v>
      </c>
      <c r="M145" t="str" cm="1">
        <f t="array" ref="M145">IF(F145=0," ",IF(ISBLANK(INDEX(Initial_Component_aggregator!H:H,MATCH(F145,Initial_Component_aggregator!B:B))),F145,INDEX(Initial_Component_aggregator!K:K,MATCH(J145,Initial_Component_aggregator!H:H))))</f>
        <v xml:space="preserve"> </v>
      </c>
    </row>
    <row r="146" spans="1:13" ht="36" customHeight="1">
      <c r="A146"/>
      <c r="B146"/>
      <c r="C146"/>
      <c r="D146"/>
      <c r="E146"/>
      <c r="F146"/>
      <c r="G146"/>
      <c r="H146" t="str">
        <f t="shared" si="2"/>
        <v xml:space="preserve"> </v>
      </c>
      <c r="I146" t="str" cm="1">
        <f t="array" ref="I146">IF(F146=0," ",IF(ISBLANK(INDEX(Initial_Component_aggregator!F:F,MATCH(F146,Initial_Component_aggregator!B:B,0))),"No change",INDEX(Initial_Component_aggregator!F:F,MATCH(F146,Initial_Component_aggregator!B:B,0))))</f>
        <v xml:space="preserve"> </v>
      </c>
      <c r="J146" t="str" cm="1">
        <f t="array" ref="J146">IF(F146=0," ",IF(ISBLANK(INDEX(Initial_Component_aggregator!H:H,MATCH(F146,Initial_Component_aggregator!B:B,0))),F146,INDEX(Initial_Component_aggregator!H:H,MATCH(F146,Initial_Component_aggregator!B:B,0))))</f>
        <v xml:space="preserve"> </v>
      </c>
      <c r="K146" t="str" cm="1">
        <f t="array" ref="K146">IF(F146=0," ",IF(ISBLANK(INDEX(Initial_Component_aggregator!H:H,MATCH(F146,Initial_Component_aggregator!B:B))),D146,INDEX(Initial_Component_aggregator!I:I,MATCH(J146,Initial_Component_aggregator!H:H))))</f>
        <v xml:space="preserve"> </v>
      </c>
      <c r="L146" t="str" cm="1">
        <f t="array" ref="L146">IF(F146=0," ",IF(ISBLANK(INDEX(Initial_Component_aggregator!H:H,MATCH(F146,Initial_Component_aggregator!B:B))),E146,INDEX(Initial_Component_aggregator!J:J,MATCH(J146,Initial_Component_aggregator!H:H))))</f>
        <v xml:space="preserve"> </v>
      </c>
      <c r="M146" t="str" cm="1">
        <f t="array" ref="M146">IF(F146=0," ",IF(ISBLANK(INDEX(Initial_Component_aggregator!H:H,MATCH(F146,Initial_Component_aggregator!B:B))),F146,INDEX(Initial_Component_aggregator!K:K,MATCH(J146,Initial_Component_aggregator!H:H))))</f>
        <v xml:space="preserve"> </v>
      </c>
    </row>
    <row r="147" spans="1:13" ht="36" customHeight="1">
      <c r="A147"/>
      <c r="B147"/>
      <c r="C147"/>
      <c r="D147"/>
      <c r="E147"/>
      <c r="F147"/>
      <c r="G147"/>
      <c r="H147" t="str">
        <f t="shared" si="2"/>
        <v xml:space="preserve"> </v>
      </c>
      <c r="I147" t="str" cm="1">
        <f t="array" ref="I147">IF(F147=0," ",IF(ISBLANK(INDEX(Initial_Component_aggregator!F:F,MATCH(F147,Initial_Component_aggregator!B:B,0))),"No change",INDEX(Initial_Component_aggregator!F:F,MATCH(F147,Initial_Component_aggregator!B:B,0))))</f>
        <v xml:space="preserve"> </v>
      </c>
      <c r="J147" t="str" cm="1">
        <f t="array" ref="J147">IF(F147=0," ",IF(ISBLANK(INDEX(Initial_Component_aggregator!H:H,MATCH(F147,Initial_Component_aggregator!B:B,0))),F147,INDEX(Initial_Component_aggregator!H:H,MATCH(F147,Initial_Component_aggregator!B:B,0))))</f>
        <v xml:space="preserve"> </v>
      </c>
      <c r="K147" t="str" cm="1">
        <f t="array" ref="K147">IF(F147=0," ",IF(ISBLANK(INDEX(Initial_Component_aggregator!H:H,MATCH(F147,Initial_Component_aggregator!B:B))),D147,INDEX(Initial_Component_aggregator!I:I,MATCH(J147,Initial_Component_aggregator!H:H))))</f>
        <v xml:space="preserve"> </v>
      </c>
      <c r="L147" t="str" cm="1">
        <f t="array" ref="L147">IF(F147=0," ",IF(ISBLANK(INDEX(Initial_Component_aggregator!H:H,MATCH(F147,Initial_Component_aggregator!B:B))),E147,INDEX(Initial_Component_aggregator!J:J,MATCH(J147,Initial_Component_aggregator!H:H))))</f>
        <v xml:space="preserve"> </v>
      </c>
      <c r="M147" t="str" cm="1">
        <f t="array" ref="M147">IF(F147=0," ",IF(ISBLANK(INDEX(Initial_Component_aggregator!H:H,MATCH(F147,Initial_Component_aggregator!B:B))),F147,INDEX(Initial_Component_aggregator!K:K,MATCH(J147,Initial_Component_aggregator!H:H))))</f>
        <v xml:space="preserve"> </v>
      </c>
    </row>
    <row r="148" spans="1:13" ht="36" customHeight="1">
      <c r="A148"/>
      <c r="B148"/>
      <c r="C148"/>
      <c r="D148"/>
      <c r="E148"/>
      <c r="F148"/>
      <c r="G148"/>
      <c r="H148" t="str">
        <f t="shared" si="2"/>
        <v xml:space="preserve"> </v>
      </c>
      <c r="I148" t="str" cm="1">
        <f t="array" ref="I148">IF(F148=0," ",IF(ISBLANK(INDEX(Initial_Component_aggregator!F:F,MATCH(F148,Initial_Component_aggregator!B:B,0))),"No change",INDEX(Initial_Component_aggregator!F:F,MATCH(F148,Initial_Component_aggregator!B:B,0))))</f>
        <v xml:space="preserve"> </v>
      </c>
      <c r="J148" t="str" cm="1">
        <f t="array" ref="J148">IF(F148=0," ",IF(ISBLANK(INDEX(Initial_Component_aggregator!H:H,MATCH(F148,Initial_Component_aggregator!B:B,0))),F148,INDEX(Initial_Component_aggregator!H:H,MATCH(F148,Initial_Component_aggregator!B:B,0))))</f>
        <v xml:space="preserve"> </v>
      </c>
      <c r="K148" t="str" cm="1">
        <f t="array" ref="K148">IF(F148=0," ",IF(ISBLANK(INDEX(Initial_Component_aggregator!H:H,MATCH(F148,Initial_Component_aggregator!B:B))),D148,INDEX(Initial_Component_aggregator!I:I,MATCH(J148,Initial_Component_aggregator!H:H))))</f>
        <v xml:space="preserve"> </v>
      </c>
      <c r="L148" t="str" cm="1">
        <f t="array" ref="L148">IF(F148=0," ",IF(ISBLANK(INDEX(Initial_Component_aggregator!H:H,MATCH(F148,Initial_Component_aggregator!B:B))),E148,INDEX(Initial_Component_aggregator!J:J,MATCH(J148,Initial_Component_aggregator!H:H))))</f>
        <v xml:space="preserve"> </v>
      </c>
      <c r="M148" t="str" cm="1">
        <f t="array" ref="M148">IF(F148=0," ",IF(ISBLANK(INDEX(Initial_Component_aggregator!H:H,MATCH(F148,Initial_Component_aggregator!B:B))),F148,INDEX(Initial_Component_aggregator!K:K,MATCH(J148,Initial_Component_aggregator!H:H))))</f>
        <v xml:space="preserve"> </v>
      </c>
    </row>
    <row r="149" spans="1:13" ht="36" customHeight="1">
      <c r="A149"/>
      <c r="B149"/>
      <c r="C149"/>
      <c r="D149"/>
      <c r="E149"/>
      <c r="F149"/>
      <c r="G149"/>
      <c r="H149" t="str">
        <f t="shared" si="2"/>
        <v xml:space="preserve"> </v>
      </c>
      <c r="I149" t="str" cm="1">
        <f t="array" ref="I149">IF(F149=0," ",IF(ISBLANK(INDEX(Initial_Component_aggregator!F:F,MATCH(F149,Initial_Component_aggregator!B:B,0))),"No change",INDEX(Initial_Component_aggregator!F:F,MATCH(F149,Initial_Component_aggregator!B:B,0))))</f>
        <v xml:space="preserve"> </v>
      </c>
      <c r="J149" t="str" cm="1">
        <f t="array" ref="J149">IF(F149=0," ",IF(ISBLANK(INDEX(Initial_Component_aggregator!H:H,MATCH(F149,Initial_Component_aggregator!B:B,0))),F149,INDEX(Initial_Component_aggregator!H:H,MATCH(F149,Initial_Component_aggregator!B:B,0))))</f>
        <v xml:space="preserve"> </v>
      </c>
      <c r="K149" t="str" cm="1">
        <f t="array" ref="K149">IF(F149=0," ",IF(ISBLANK(INDEX(Initial_Component_aggregator!H:H,MATCH(F149,Initial_Component_aggregator!B:B))),D149,INDEX(Initial_Component_aggregator!I:I,MATCH(J149,Initial_Component_aggregator!H:H))))</f>
        <v xml:space="preserve"> </v>
      </c>
      <c r="L149" t="str" cm="1">
        <f t="array" ref="L149">IF(F149=0," ",IF(ISBLANK(INDEX(Initial_Component_aggregator!H:H,MATCH(F149,Initial_Component_aggregator!B:B))),E149,INDEX(Initial_Component_aggregator!J:J,MATCH(J149,Initial_Component_aggregator!H:H))))</f>
        <v xml:space="preserve"> </v>
      </c>
      <c r="M149" t="str" cm="1">
        <f t="array" ref="M149">IF(F149=0," ",IF(ISBLANK(INDEX(Initial_Component_aggregator!H:H,MATCH(F149,Initial_Component_aggregator!B:B))),F149,INDEX(Initial_Component_aggregator!K:K,MATCH(J149,Initial_Component_aggregator!H:H))))</f>
        <v xml:space="preserve"> </v>
      </c>
    </row>
    <row r="150" spans="1:13" ht="36" customHeight="1">
      <c r="A150"/>
      <c r="B150"/>
      <c r="C150"/>
      <c r="D150"/>
      <c r="E150"/>
      <c r="F150"/>
      <c r="G150"/>
      <c r="H150" t="str">
        <f t="shared" si="2"/>
        <v xml:space="preserve"> </v>
      </c>
      <c r="I150" t="str" cm="1">
        <f t="array" ref="I150">IF(F150=0," ",IF(ISBLANK(INDEX(Initial_Component_aggregator!F:F,MATCH(F150,Initial_Component_aggregator!B:B,0))),"No change",INDEX(Initial_Component_aggregator!F:F,MATCH(F150,Initial_Component_aggregator!B:B,0))))</f>
        <v xml:space="preserve"> </v>
      </c>
      <c r="J150" t="str" cm="1">
        <f t="array" ref="J150">IF(F150=0," ",IF(ISBLANK(INDEX(Initial_Component_aggregator!H:H,MATCH(F150,Initial_Component_aggregator!B:B,0))),F150,INDEX(Initial_Component_aggregator!H:H,MATCH(F150,Initial_Component_aggregator!B:B,0))))</f>
        <v xml:space="preserve"> </v>
      </c>
      <c r="K150" t="str" cm="1">
        <f t="array" ref="K150">IF(F150=0," ",IF(ISBLANK(INDEX(Initial_Component_aggregator!H:H,MATCH(F150,Initial_Component_aggregator!B:B))),D150,INDEX(Initial_Component_aggregator!I:I,MATCH(J150,Initial_Component_aggregator!H:H))))</f>
        <v xml:space="preserve"> </v>
      </c>
      <c r="L150" t="str" cm="1">
        <f t="array" ref="L150">IF(F150=0," ",IF(ISBLANK(INDEX(Initial_Component_aggregator!H:H,MATCH(F150,Initial_Component_aggregator!B:B))),E150,INDEX(Initial_Component_aggregator!J:J,MATCH(J150,Initial_Component_aggregator!H:H))))</f>
        <v xml:space="preserve"> </v>
      </c>
      <c r="M150" t="str" cm="1">
        <f t="array" ref="M150">IF(F150=0," ",IF(ISBLANK(INDEX(Initial_Component_aggregator!H:H,MATCH(F150,Initial_Component_aggregator!B:B))),F150,INDEX(Initial_Component_aggregator!K:K,MATCH(J150,Initial_Component_aggregator!H:H))))</f>
        <v xml:space="preserve"> </v>
      </c>
    </row>
    <row r="151" spans="1:13" ht="36" customHeight="1">
      <c r="A151"/>
      <c r="B151"/>
      <c r="C151"/>
      <c r="D151"/>
      <c r="E151"/>
      <c r="F151"/>
      <c r="G151"/>
      <c r="H151" t="str">
        <f t="shared" si="2"/>
        <v xml:space="preserve"> </v>
      </c>
      <c r="I151" t="str" cm="1">
        <f t="array" ref="I151">IF(F151=0," ",IF(ISBLANK(INDEX(Initial_Component_aggregator!F:F,MATCH(F151,Initial_Component_aggregator!B:B,0))),"No change",INDEX(Initial_Component_aggregator!F:F,MATCH(F151,Initial_Component_aggregator!B:B,0))))</f>
        <v xml:space="preserve"> </v>
      </c>
      <c r="J151" t="str" cm="1">
        <f t="array" ref="J151">IF(F151=0," ",IF(ISBLANK(INDEX(Initial_Component_aggregator!H:H,MATCH(F151,Initial_Component_aggregator!B:B,0))),F151,INDEX(Initial_Component_aggregator!H:H,MATCH(F151,Initial_Component_aggregator!B:B,0))))</f>
        <v xml:space="preserve"> </v>
      </c>
      <c r="K151" t="str" cm="1">
        <f t="array" ref="K151">IF(F151=0," ",IF(ISBLANK(INDEX(Initial_Component_aggregator!H:H,MATCH(F151,Initial_Component_aggregator!B:B))),D151,INDEX(Initial_Component_aggregator!I:I,MATCH(J151,Initial_Component_aggregator!H:H))))</f>
        <v xml:space="preserve"> </v>
      </c>
      <c r="L151" t="str" cm="1">
        <f t="array" ref="L151">IF(F151=0," ",IF(ISBLANK(INDEX(Initial_Component_aggregator!H:H,MATCH(F151,Initial_Component_aggregator!B:B))),E151,INDEX(Initial_Component_aggregator!J:J,MATCH(J151,Initial_Component_aggregator!H:H))))</f>
        <v xml:space="preserve"> </v>
      </c>
      <c r="M151" t="str" cm="1">
        <f t="array" ref="M151">IF(F151=0," ",IF(ISBLANK(INDEX(Initial_Component_aggregator!H:H,MATCH(F151,Initial_Component_aggregator!B:B))),F151,INDEX(Initial_Component_aggregator!K:K,MATCH(J151,Initial_Component_aggregator!H:H))))</f>
        <v xml:space="preserve"> </v>
      </c>
    </row>
    <row r="152" spans="1:13" ht="36" customHeight="1">
      <c r="A152"/>
      <c r="B152"/>
      <c r="C152"/>
      <c r="D152"/>
      <c r="E152"/>
      <c r="F152"/>
      <c r="G152"/>
      <c r="H152" t="str">
        <f t="shared" si="2"/>
        <v xml:space="preserve"> </v>
      </c>
      <c r="I152" t="str" cm="1">
        <f t="array" ref="I152">IF(F152=0," ",IF(ISBLANK(INDEX(Initial_Component_aggregator!F:F,MATCH(F152,Initial_Component_aggregator!B:B,0))),"No change",INDEX(Initial_Component_aggregator!F:F,MATCH(F152,Initial_Component_aggregator!B:B,0))))</f>
        <v xml:space="preserve"> </v>
      </c>
      <c r="J152" t="str" cm="1">
        <f t="array" ref="J152">IF(F152=0," ",IF(ISBLANK(INDEX(Initial_Component_aggregator!H:H,MATCH(F152,Initial_Component_aggregator!B:B,0))),F152,INDEX(Initial_Component_aggregator!H:H,MATCH(F152,Initial_Component_aggregator!B:B,0))))</f>
        <v xml:space="preserve"> </v>
      </c>
      <c r="K152" t="str" cm="1">
        <f t="array" ref="K152">IF(F152=0," ",IF(ISBLANK(INDEX(Initial_Component_aggregator!H:H,MATCH(F152,Initial_Component_aggregator!B:B))),D152,INDEX(Initial_Component_aggregator!I:I,MATCH(J152,Initial_Component_aggregator!H:H))))</f>
        <v xml:space="preserve"> </v>
      </c>
      <c r="L152" t="str" cm="1">
        <f t="array" ref="L152">IF(F152=0," ",IF(ISBLANK(INDEX(Initial_Component_aggregator!H:H,MATCH(F152,Initial_Component_aggregator!B:B))),E152,INDEX(Initial_Component_aggregator!J:J,MATCH(J152,Initial_Component_aggregator!H:H))))</f>
        <v xml:space="preserve"> </v>
      </c>
      <c r="M152" t="str" cm="1">
        <f t="array" ref="M152">IF(F152=0," ",IF(ISBLANK(INDEX(Initial_Component_aggregator!H:H,MATCH(F152,Initial_Component_aggregator!B:B))),F152,INDEX(Initial_Component_aggregator!K:K,MATCH(J152,Initial_Component_aggregator!H:H))))</f>
        <v xml:space="preserve"> </v>
      </c>
    </row>
    <row r="153" spans="1:13" ht="36" customHeight="1">
      <c r="A153"/>
      <c r="B153"/>
      <c r="C153"/>
      <c r="D153"/>
      <c r="E153"/>
      <c r="F153"/>
      <c r="G153"/>
      <c r="H153" t="str">
        <f t="shared" si="2"/>
        <v xml:space="preserve"> </v>
      </c>
      <c r="I153" t="str" cm="1">
        <f t="array" ref="I153">IF(F153=0," ",IF(ISBLANK(INDEX(Initial_Component_aggregator!F:F,MATCH(F153,Initial_Component_aggregator!B:B,0))),"No change",INDEX(Initial_Component_aggregator!F:F,MATCH(F153,Initial_Component_aggregator!B:B,0))))</f>
        <v xml:space="preserve"> </v>
      </c>
      <c r="J153" t="str" cm="1">
        <f t="array" ref="J153">IF(F153=0," ",IF(ISBLANK(INDEX(Initial_Component_aggregator!H:H,MATCH(F153,Initial_Component_aggregator!B:B,0))),F153,INDEX(Initial_Component_aggregator!H:H,MATCH(F153,Initial_Component_aggregator!B:B,0))))</f>
        <v xml:space="preserve"> </v>
      </c>
      <c r="K153" t="str" cm="1">
        <f t="array" ref="K153">IF(F153=0," ",IF(ISBLANK(INDEX(Initial_Component_aggregator!H:H,MATCH(F153,Initial_Component_aggregator!B:B))),D153,INDEX(Initial_Component_aggregator!I:I,MATCH(J153,Initial_Component_aggregator!H:H))))</f>
        <v xml:space="preserve"> </v>
      </c>
      <c r="L153" t="str" cm="1">
        <f t="array" ref="L153">IF(F153=0," ",IF(ISBLANK(INDEX(Initial_Component_aggregator!H:H,MATCH(F153,Initial_Component_aggregator!B:B))),E153,INDEX(Initial_Component_aggregator!J:J,MATCH(J153,Initial_Component_aggregator!H:H))))</f>
        <v xml:space="preserve"> </v>
      </c>
      <c r="M153" t="str" cm="1">
        <f t="array" ref="M153">IF(F153=0," ",IF(ISBLANK(INDEX(Initial_Component_aggregator!H:H,MATCH(F153,Initial_Component_aggregator!B:B))),F153,INDEX(Initial_Component_aggregator!K:K,MATCH(J153,Initial_Component_aggregator!H:H))))</f>
        <v xml:space="preserve"> </v>
      </c>
    </row>
    <row r="154" spans="1:13" ht="36" customHeight="1">
      <c r="A154"/>
      <c r="B154"/>
      <c r="C154"/>
      <c r="D154"/>
      <c r="E154"/>
      <c r="F154"/>
      <c r="G154"/>
      <c r="H154" t="str">
        <f t="shared" si="2"/>
        <v xml:space="preserve"> </v>
      </c>
      <c r="I154" t="str" cm="1">
        <f t="array" ref="I154">IF(F154=0," ",IF(ISBLANK(INDEX(Initial_Component_aggregator!F:F,MATCH(F154,Initial_Component_aggregator!B:B,0))),"No change",INDEX(Initial_Component_aggregator!F:F,MATCH(F154,Initial_Component_aggregator!B:B,0))))</f>
        <v xml:space="preserve"> </v>
      </c>
      <c r="J154" t="str" cm="1">
        <f t="array" ref="J154">IF(F154=0," ",IF(ISBLANK(INDEX(Initial_Component_aggregator!H:H,MATCH(F154,Initial_Component_aggregator!B:B,0))),F154,INDEX(Initial_Component_aggregator!H:H,MATCH(F154,Initial_Component_aggregator!B:B,0))))</f>
        <v xml:space="preserve"> </v>
      </c>
      <c r="K154" t="str" cm="1">
        <f t="array" ref="K154">IF(F154=0," ",IF(ISBLANK(INDEX(Initial_Component_aggregator!H:H,MATCH(F154,Initial_Component_aggregator!B:B))),D154,INDEX(Initial_Component_aggregator!I:I,MATCH(J154,Initial_Component_aggregator!H:H))))</f>
        <v xml:space="preserve"> </v>
      </c>
      <c r="L154" t="str" cm="1">
        <f t="array" ref="L154">IF(F154=0," ",IF(ISBLANK(INDEX(Initial_Component_aggregator!H:H,MATCH(F154,Initial_Component_aggregator!B:B))),E154,INDEX(Initial_Component_aggregator!J:J,MATCH(J154,Initial_Component_aggregator!H:H))))</f>
        <v xml:space="preserve"> </v>
      </c>
      <c r="M154" t="str" cm="1">
        <f t="array" ref="M154">IF(F154=0," ",IF(ISBLANK(INDEX(Initial_Component_aggregator!H:H,MATCH(F154,Initial_Component_aggregator!B:B))),F154,INDEX(Initial_Component_aggregator!K:K,MATCH(J154,Initial_Component_aggregator!H:H))))</f>
        <v xml:space="preserve"> </v>
      </c>
    </row>
    <row r="155" spans="1:13" ht="36" customHeight="1">
      <c r="A155"/>
      <c r="B155"/>
      <c r="C155"/>
      <c r="D155"/>
      <c r="E155"/>
      <c r="F155"/>
      <c r="G155"/>
      <c r="H155" t="str">
        <f t="shared" si="2"/>
        <v xml:space="preserve"> </v>
      </c>
      <c r="I155" t="str" cm="1">
        <f t="array" ref="I155">IF(F155=0," ",IF(ISBLANK(INDEX(Initial_Component_aggregator!F:F,MATCH(F155,Initial_Component_aggregator!B:B,0))),"No change",INDEX(Initial_Component_aggregator!F:F,MATCH(F155,Initial_Component_aggregator!B:B,0))))</f>
        <v xml:space="preserve"> </v>
      </c>
      <c r="J155" t="str" cm="1">
        <f t="array" ref="J155">IF(F155=0," ",IF(ISBLANK(INDEX(Initial_Component_aggregator!H:H,MATCH(F155,Initial_Component_aggregator!B:B,0))),F155,INDEX(Initial_Component_aggregator!H:H,MATCH(F155,Initial_Component_aggregator!B:B,0))))</f>
        <v xml:space="preserve"> </v>
      </c>
      <c r="K155" t="str" cm="1">
        <f t="array" ref="K155">IF(F155=0," ",IF(ISBLANK(INDEX(Initial_Component_aggregator!H:H,MATCH(F155,Initial_Component_aggregator!B:B))),D155,INDEX(Initial_Component_aggregator!I:I,MATCH(J155,Initial_Component_aggregator!H:H))))</f>
        <v xml:space="preserve"> </v>
      </c>
      <c r="L155" t="str" cm="1">
        <f t="array" ref="L155">IF(F155=0," ",IF(ISBLANK(INDEX(Initial_Component_aggregator!H:H,MATCH(F155,Initial_Component_aggregator!B:B))),E155,INDEX(Initial_Component_aggregator!J:J,MATCH(J155,Initial_Component_aggregator!H:H))))</f>
        <v xml:space="preserve"> </v>
      </c>
      <c r="M155" t="str" cm="1">
        <f t="array" ref="M155">IF(F155=0," ",IF(ISBLANK(INDEX(Initial_Component_aggregator!H:H,MATCH(F155,Initial_Component_aggregator!B:B))),F155,INDEX(Initial_Component_aggregator!K:K,MATCH(J155,Initial_Component_aggregator!H:H))))</f>
        <v xml:space="preserve"> </v>
      </c>
    </row>
    <row r="156" spans="1:13" ht="36" customHeight="1">
      <c r="A156"/>
      <c r="B156"/>
      <c r="C156"/>
      <c r="D156"/>
      <c r="E156"/>
      <c r="F156"/>
      <c r="G156"/>
      <c r="H156" t="str">
        <f t="shared" si="2"/>
        <v xml:space="preserve"> </v>
      </c>
      <c r="I156" t="str" cm="1">
        <f t="array" ref="I156">IF(F156=0," ",IF(ISBLANK(INDEX(Initial_Component_aggregator!F:F,MATCH(F156,Initial_Component_aggregator!B:B,0))),"No change",INDEX(Initial_Component_aggregator!F:F,MATCH(F156,Initial_Component_aggregator!B:B,0))))</f>
        <v xml:space="preserve"> </v>
      </c>
      <c r="J156" t="str" cm="1">
        <f t="array" ref="J156">IF(F156=0," ",IF(ISBLANK(INDEX(Initial_Component_aggregator!H:H,MATCH(F156,Initial_Component_aggregator!B:B,0))),F156,INDEX(Initial_Component_aggregator!H:H,MATCH(F156,Initial_Component_aggregator!B:B,0))))</f>
        <v xml:space="preserve"> </v>
      </c>
      <c r="K156" t="str" cm="1">
        <f t="array" ref="K156">IF(F156=0," ",IF(ISBLANK(INDEX(Initial_Component_aggregator!H:H,MATCH(F156,Initial_Component_aggregator!B:B))),D156,INDEX(Initial_Component_aggregator!I:I,MATCH(J156,Initial_Component_aggregator!H:H))))</f>
        <v xml:space="preserve"> </v>
      </c>
      <c r="L156" t="str" cm="1">
        <f t="array" ref="L156">IF(F156=0," ",IF(ISBLANK(INDEX(Initial_Component_aggregator!H:H,MATCH(F156,Initial_Component_aggregator!B:B))),E156,INDEX(Initial_Component_aggregator!J:J,MATCH(J156,Initial_Component_aggregator!H:H))))</f>
        <v xml:space="preserve"> </v>
      </c>
      <c r="M156" t="str" cm="1">
        <f t="array" ref="M156">IF(F156=0," ",IF(ISBLANK(INDEX(Initial_Component_aggregator!H:H,MATCH(F156,Initial_Component_aggregator!B:B))),F156,INDEX(Initial_Component_aggregator!K:K,MATCH(J156,Initial_Component_aggregator!H:H))))</f>
        <v xml:space="preserve"> </v>
      </c>
    </row>
    <row r="157" spans="1:13" ht="36" customHeight="1">
      <c r="A157"/>
      <c r="B157"/>
      <c r="C157"/>
      <c r="D157"/>
      <c r="E157"/>
      <c r="F157"/>
      <c r="G157"/>
      <c r="H157" t="str">
        <f t="shared" si="2"/>
        <v xml:space="preserve"> </v>
      </c>
      <c r="I157" t="str" cm="1">
        <f t="array" ref="I157">IF(F157=0," ",IF(ISBLANK(INDEX(Initial_Component_aggregator!F:F,MATCH(F157,Initial_Component_aggregator!B:B,0))),"No change",INDEX(Initial_Component_aggregator!F:F,MATCH(F157,Initial_Component_aggregator!B:B,0))))</f>
        <v xml:space="preserve"> </v>
      </c>
      <c r="J157" t="str" cm="1">
        <f t="array" ref="J157">IF(F157=0," ",IF(ISBLANK(INDEX(Initial_Component_aggregator!H:H,MATCH(F157,Initial_Component_aggregator!B:B,0))),F157,INDEX(Initial_Component_aggregator!H:H,MATCH(F157,Initial_Component_aggregator!B:B,0))))</f>
        <v xml:space="preserve"> </v>
      </c>
      <c r="K157" t="str" cm="1">
        <f t="array" ref="K157">IF(F157=0," ",IF(ISBLANK(INDEX(Initial_Component_aggregator!H:H,MATCH(F157,Initial_Component_aggregator!B:B))),D157,INDEX(Initial_Component_aggregator!I:I,MATCH(J157,Initial_Component_aggregator!H:H))))</f>
        <v xml:space="preserve"> </v>
      </c>
      <c r="L157" t="str" cm="1">
        <f t="array" ref="L157">IF(F157=0," ",IF(ISBLANK(INDEX(Initial_Component_aggregator!H:H,MATCH(F157,Initial_Component_aggregator!B:B))),E157,INDEX(Initial_Component_aggregator!J:J,MATCH(J157,Initial_Component_aggregator!H:H))))</f>
        <v xml:space="preserve"> </v>
      </c>
      <c r="M157" t="str" cm="1">
        <f t="array" ref="M157">IF(F157=0," ",IF(ISBLANK(INDEX(Initial_Component_aggregator!H:H,MATCH(F157,Initial_Component_aggregator!B:B))),F157,INDEX(Initial_Component_aggregator!K:K,MATCH(J157,Initial_Component_aggregator!H:H))))</f>
        <v xml:space="preserve"> </v>
      </c>
    </row>
    <row r="158" spans="1:13" ht="36" customHeight="1">
      <c r="A158"/>
      <c r="B158"/>
      <c r="C158"/>
      <c r="D158"/>
      <c r="E158"/>
      <c r="F158"/>
      <c r="G158"/>
      <c r="H158" t="str">
        <f t="shared" si="2"/>
        <v xml:space="preserve"> </v>
      </c>
      <c r="I158" t="str" cm="1">
        <f t="array" ref="I158">IF(F158=0," ",IF(ISBLANK(INDEX(Initial_Component_aggregator!F:F,MATCH(F158,Initial_Component_aggregator!B:B,0))),"No change",INDEX(Initial_Component_aggregator!F:F,MATCH(F158,Initial_Component_aggregator!B:B,0))))</f>
        <v xml:space="preserve"> </v>
      </c>
      <c r="J158" t="str" cm="1">
        <f t="array" ref="J158">IF(F158=0," ",IF(ISBLANK(INDEX(Initial_Component_aggregator!H:H,MATCH(F158,Initial_Component_aggregator!B:B,0))),F158,INDEX(Initial_Component_aggregator!H:H,MATCH(F158,Initial_Component_aggregator!B:B,0))))</f>
        <v xml:space="preserve"> </v>
      </c>
      <c r="K158" t="str" cm="1">
        <f t="array" ref="K158">IF(F158=0," ",IF(ISBLANK(INDEX(Initial_Component_aggregator!H:H,MATCH(F158,Initial_Component_aggregator!B:B))),D158,INDEX(Initial_Component_aggregator!I:I,MATCH(J158,Initial_Component_aggregator!H:H))))</f>
        <v xml:space="preserve"> </v>
      </c>
      <c r="L158" t="str" cm="1">
        <f t="array" ref="L158">IF(F158=0," ",IF(ISBLANK(INDEX(Initial_Component_aggregator!H:H,MATCH(F158,Initial_Component_aggregator!B:B))),E158,INDEX(Initial_Component_aggregator!J:J,MATCH(J158,Initial_Component_aggregator!H:H))))</f>
        <v xml:space="preserve"> </v>
      </c>
      <c r="M158" t="str" cm="1">
        <f t="array" ref="M158">IF(F158=0," ",IF(ISBLANK(INDEX(Initial_Component_aggregator!H:H,MATCH(F158,Initial_Component_aggregator!B:B))),F158,INDEX(Initial_Component_aggregator!K:K,MATCH(J158,Initial_Component_aggregator!H:H))))</f>
        <v xml:space="preserve"> </v>
      </c>
    </row>
    <row r="159" spans="1:13" ht="36" customHeight="1">
      <c r="A159"/>
      <c r="B159"/>
      <c r="C159"/>
      <c r="D159"/>
      <c r="E159"/>
      <c r="F159"/>
      <c r="G159"/>
      <c r="H159" t="str">
        <f t="shared" si="2"/>
        <v xml:space="preserve"> </v>
      </c>
      <c r="I159" t="str" cm="1">
        <f t="array" ref="I159">IF(F159=0," ",IF(ISBLANK(INDEX(Initial_Component_aggregator!F:F,MATCH(F159,Initial_Component_aggregator!B:B,0))),"No change",INDEX(Initial_Component_aggregator!F:F,MATCH(F159,Initial_Component_aggregator!B:B,0))))</f>
        <v xml:space="preserve"> </v>
      </c>
      <c r="J159" t="str" cm="1">
        <f t="array" ref="J159">IF(F159=0," ",IF(ISBLANK(INDEX(Initial_Component_aggregator!H:H,MATCH(F159,Initial_Component_aggregator!B:B,0))),F159,INDEX(Initial_Component_aggregator!H:H,MATCH(F159,Initial_Component_aggregator!B:B,0))))</f>
        <v xml:space="preserve"> </v>
      </c>
      <c r="K159" t="str" cm="1">
        <f t="array" ref="K159">IF(F159=0," ",IF(ISBLANK(INDEX(Initial_Component_aggregator!H:H,MATCH(F159,Initial_Component_aggregator!B:B))),D159,INDEX(Initial_Component_aggregator!I:I,MATCH(J159,Initial_Component_aggregator!H:H))))</f>
        <v xml:space="preserve"> </v>
      </c>
      <c r="L159" t="str" cm="1">
        <f t="array" ref="L159">IF(F159=0," ",IF(ISBLANK(INDEX(Initial_Component_aggregator!H:H,MATCH(F159,Initial_Component_aggregator!B:B))),E159,INDEX(Initial_Component_aggregator!J:J,MATCH(J159,Initial_Component_aggregator!H:H))))</f>
        <v xml:space="preserve"> </v>
      </c>
      <c r="M159" t="str" cm="1">
        <f t="array" ref="M159">IF(F159=0," ",IF(ISBLANK(INDEX(Initial_Component_aggregator!H:H,MATCH(F159,Initial_Component_aggregator!B:B))),F159,INDEX(Initial_Component_aggregator!K:K,MATCH(J159,Initial_Component_aggregator!H:H))))</f>
        <v xml:space="preserve"> </v>
      </c>
    </row>
    <row r="160" spans="1:13" ht="36" customHeight="1">
      <c r="A160"/>
      <c r="B160"/>
      <c r="C160"/>
      <c r="D160"/>
      <c r="E160"/>
      <c r="F160"/>
      <c r="G160"/>
      <c r="H160" t="str">
        <f t="shared" si="2"/>
        <v xml:space="preserve"> </v>
      </c>
      <c r="I160" t="str" cm="1">
        <f t="array" ref="I160">IF(F160=0," ",IF(ISBLANK(INDEX(Initial_Component_aggregator!F:F,MATCH(F160,Initial_Component_aggregator!B:B,0))),"No change",INDEX(Initial_Component_aggregator!F:F,MATCH(F160,Initial_Component_aggregator!B:B,0))))</f>
        <v xml:space="preserve"> </v>
      </c>
      <c r="J160" t="str" cm="1">
        <f t="array" ref="J160">IF(F160=0," ",IF(ISBLANK(INDEX(Initial_Component_aggregator!H:H,MATCH(F160,Initial_Component_aggregator!B:B,0))),F160,INDEX(Initial_Component_aggregator!H:H,MATCH(F160,Initial_Component_aggregator!B:B,0))))</f>
        <v xml:space="preserve"> </v>
      </c>
      <c r="K160" t="str" cm="1">
        <f t="array" ref="K160">IF(F160=0," ",IF(ISBLANK(INDEX(Initial_Component_aggregator!H:H,MATCH(F160,Initial_Component_aggregator!B:B))),D160,INDEX(Initial_Component_aggregator!I:I,MATCH(J160,Initial_Component_aggregator!H:H))))</f>
        <v xml:space="preserve"> </v>
      </c>
      <c r="L160" t="str" cm="1">
        <f t="array" ref="L160">IF(F160=0," ",IF(ISBLANK(INDEX(Initial_Component_aggregator!H:H,MATCH(F160,Initial_Component_aggregator!B:B))),E160,INDEX(Initial_Component_aggregator!J:J,MATCH(J160,Initial_Component_aggregator!H:H))))</f>
        <v xml:space="preserve"> </v>
      </c>
      <c r="M160" t="str" cm="1">
        <f t="array" ref="M160">IF(F160=0," ",IF(ISBLANK(INDEX(Initial_Component_aggregator!H:H,MATCH(F160,Initial_Component_aggregator!B:B))),F160,INDEX(Initial_Component_aggregator!K:K,MATCH(J160,Initial_Component_aggregator!H:H))))</f>
        <v xml:space="preserve"> </v>
      </c>
    </row>
    <row r="161" spans="1:13" ht="36" customHeight="1">
      <c r="A161"/>
      <c r="B161"/>
      <c r="C161"/>
      <c r="D161"/>
      <c r="E161"/>
      <c r="F161"/>
      <c r="G161"/>
      <c r="H161" t="str">
        <f t="shared" si="2"/>
        <v xml:space="preserve"> </v>
      </c>
      <c r="I161" t="str" cm="1">
        <f t="array" ref="I161">IF(F161=0," ",IF(ISBLANK(INDEX(Initial_Component_aggregator!F:F,MATCH(F161,Initial_Component_aggregator!B:B,0))),"No change",INDEX(Initial_Component_aggregator!F:F,MATCH(F161,Initial_Component_aggregator!B:B,0))))</f>
        <v xml:space="preserve"> </v>
      </c>
      <c r="J161" t="str" cm="1">
        <f t="array" ref="J161">IF(F161=0," ",IF(ISBLANK(INDEX(Initial_Component_aggregator!H:H,MATCH(F161,Initial_Component_aggregator!B:B,0))),F161,INDEX(Initial_Component_aggregator!H:H,MATCH(F161,Initial_Component_aggregator!B:B,0))))</f>
        <v xml:space="preserve"> </v>
      </c>
      <c r="K161" t="str" cm="1">
        <f t="array" ref="K161">IF(F161=0," ",IF(ISBLANK(INDEX(Initial_Component_aggregator!H:H,MATCH(F161,Initial_Component_aggregator!B:B))),D161,INDEX(Initial_Component_aggregator!I:I,MATCH(J161,Initial_Component_aggregator!H:H))))</f>
        <v xml:space="preserve"> </v>
      </c>
      <c r="L161" t="str" cm="1">
        <f t="array" ref="L161">IF(F161=0," ",IF(ISBLANK(INDEX(Initial_Component_aggregator!H:H,MATCH(F161,Initial_Component_aggregator!B:B))),E161,INDEX(Initial_Component_aggregator!J:J,MATCH(J161,Initial_Component_aggregator!H:H))))</f>
        <v xml:space="preserve"> </v>
      </c>
      <c r="M161" t="str" cm="1">
        <f t="array" ref="M161">IF(F161=0," ",IF(ISBLANK(INDEX(Initial_Component_aggregator!H:H,MATCH(F161,Initial_Component_aggregator!B:B))),F161,INDEX(Initial_Component_aggregator!K:K,MATCH(J161,Initial_Component_aggregator!H:H))))</f>
        <v xml:space="preserve"> </v>
      </c>
    </row>
    <row r="162" spans="1:13" ht="36" customHeight="1">
      <c r="A162"/>
      <c r="B162"/>
      <c r="C162"/>
      <c r="D162"/>
      <c r="E162"/>
      <c r="F162"/>
      <c r="G162"/>
      <c r="H162" t="str">
        <f t="shared" si="2"/>
        <v xml:space="preserve"> </v>
      </c>
      <c r="I162" t="str" cm="1">
        <f t="array" ref="I162">IF(F162=0," ",IF(ISBLANK(INDEX(Initial_Component_aggregator!F:F,MATCH(F162,Initial_Component_aggregator!B:B,0))),"No change",INDEX(Initial_Component_aggregator!F:F,MATCH(F162,Initial_Component_aggregator!B:B,0))))</f>
        <v xml:space="preserve"> </v>
      </c>
      <c r="J162" t="str" cm="1">
        <f t="array" ref="J162">IF(F162=0," ",IF(ISBLANK(INDEX(Initial_Component_aggregator!H:H,MATCH(F162,Initial_Component_aggregator!B:B,0))),F162,INDEX(Initial_Component_aggregator!H:H,MATCH(F162,Initial_Component_aggregator!B:B,0))))</f>
        <v xml:space="preserve"> </v>
      </c>
      <c r="K162" t="str" cm="1">
        <f t="array" ref="K162">IF(F162=0," ",IF(ISBLANK(INDEX(Initial_Component_aggregator!H:H,MATCH(F162,Initial_Component_aggregator!B:B))),D162,INDEX(Initial_Component_aggregator!I:I,MATCH(J162,Initial_Component_aggregator!H:H))))</f>
        <v xml:space="preserve"> </v>
      </c>
      <c r="L162" t="str" cm="1">
        <f t="array" ref="L162">IF(F162=0," ",IF(ISBLANK(INDEX(Initial_Component_aggregator!H:H,MATCH(F162,Initial_Component_aggregator!B:B))),E162,INDEX(Initial_Component_aggregator!J:J,MATCH(J162,Initial_Component_aggregator!H:H))))</f>
        <v xml:space="preserve"> </v>
      </c>
      <c r="M162" t="str" cm="1">
        <f t="array" ref="M162">IF(F162=0," ",IF(ISBLANK(INDEX(Initial_Component_aggregator!H:H,MATCH(F162,Initial_Component_aggregator!B:B))),F162,INDEX(Initial_Component_aggregator!K:K,MATCH(J162,Initial_Component_aggregator!H:H))))</f>
        <v xml:space="preserve"> </v>
      </c>
    </row>
    <row r="163" spans="1:13" ht="36" customHeight="1">
      <c r="A163"/>
      <c r="B163"/>
      <c r="C163"/>
      <c r="D163"/>
      <c r="E163"/>
      <c r="F163"/>
      <c r="G163"/>
      <c r="H163" t="str">
        <f t="shared" si="2"/>
        <v xml:space="preserve"> </v>
      </c>
      <c r="I163" t="str" cm="1">
        <f t="array" ref="I163">IF(F163=0," ",IF(ISBLANK(INDEX(Initial_Component_aggregator!F:F,MATCH(F163,Initial_Component_aggregator!B:B,0))),"No change",INDEX(Initial_Component_aggregator!F:F,MATCH(F163,Initial_Component_aggregator!B:B,0))))</f>
        <v xml:space="preserve"> </v>
      </c>
      <c r="J163" t="str" cm="1">
        <f t="array" ref="J163">IF(F163=0," ",IF(ISBLANK(INDEX(Initial_Component_aggregator!H:H,MATCH(F163,Initial_Component_aggregator!B:B,0))),F163,INDEX(Initial_Component_aggregator!H:H,MATCH(F163,Initial_Component_aggregator!B:B,0))))</f>
        <v xml:space="preserve"> </v>
      </c>
      <c r="K163" t="str" cm="1">
        <f t="array" ref="K163">IF(F163=0," ",IF(ISBLANK(INDEX(Initial_Component_aggregator!H:H,MATCH(F163,Initial_Component_aggregator!B:B))),D163,INDEX(Initial_Component_aggregator!I:I,MATCH(J163,Initial_Component_aggregator!H:H))))</f>
        <v xml:space="preserve"> </v>
      </c>
      <c r="L163" t="str" cm="1">
        <f t="array" ref="L163">IF(F163=0," ",IF(ISBLANK(INDEX(Initial_Component_aggregator!H:H,MATCH(F163,Initial_Component_aggregator!B:B))),E163,INDEX(Initial_Component_aggregator!J:J,MATCH(J163,Initial_Component_aggregator!H:H))))</f>
        <v xml:space="preserve"> </v>
      </c>
      <c r="M163" t="str" cm="1">
        <f t="array" ref="M163">IF(F163=0," ",IF(ISBLANK(INDEX(Initial_Component_aggregator!H:H,MATCH(F163,Initial_Component_aggregator!B:B))),F163,INDEX(Initial_Component_aggregator!K:K,MATCH(J163,Initial_Component_aggregator!H:H))))</f>
        <v xml:space="preserve"> </v>
      </c>
    </row>
    <row r="164" spans="1:13" ht="36" customHeight="1">
      <c r="A164"/>
      <c r="B164"/>
      <c r="C164"/>
      <c r="D164"/>
      <c r="E164"/>
      <c r="F164"/>
      <c r="G164"/>
      <c r="H164" t="str">
        <f t="shared" si="2"/>
        <v xml:space="preserve"> </v>
      </c>
      <c r="I164" t="str" cm="1">
        <f t="array" ref="I164">IF(F164=0," ",IF(ISBLANK(INDEX(Initial_Component_aggregator!F:F,MATCH(F164,Initial_Component_aggregator!B:B,0))),"No change",INDEX(Initial_Component_aggregator!F:F,MATCH(F164,Initial_Component_aggregator!B:B,0))))</f>
        <v xml:space="preserve"> </v>
      </c>
      <c r="J164" t="str" cm="1">
        <f t="array" ref="J164">IF(F164=0," ",IF(ISBLANK(INDEX(Initial_Component_aggregator!H:H,MATCH(F164,Initial_Component_aggregator!B:B,0))),F164,INDEX(Initial_Component_aggregator!H:H,MATCH(F164,Initial_Component_aggregator!B:B,0))))</f>
        <v xml:space="preserve"> </v>
      </c>
      <c r="K164" t="str" cm="1">
        <f t="array" ref="K164">IF(F164=0," ",IF(ISBLANK(INDEX(Initial_Component_aggregator!H:H,MATCH(F164,Initial_Component_aggregator!B:B))),D164,INDEX(Initial_Component_aggregator!I:I,MATCH(J164,Initial_Component_aggregator!H:H))))</f>
        <v xml:space="preserve"> </v>
      </c>
      <c r="L164" t="str" cm="1">
        <f t="array" ref="L164">IF(F164=0," ",IF(ISBLANK(INDEX(Initial_Component_aggregator!H:H,MATCH(F164,Initial_Component_aggregator!B:B))),E164,INDEX(Initial_Component_aggregator!J:J,MATCH(J164,Initial_Component_aggregator!H:H))))</f>
        <v xml:space="preserve"> </v>
      </c>
      <c r="M164" t="str" cm="1">
        <f t="array" ref="M164">IF(F164=0," ",IF(ISBLANK(INDEX(Initial_Component_aggregator!H:H,MATCH(F164,Initial_Component_aggregator!B:B))),F164,INDEX(Initial_Component_aggregator!K:K,MATCH(J164,Initial_Component_aggregator!H:H))))</f>
        <v xml:space="preserve"> </v>
      </c>
    </row>
    <row r="165" spans="1:13" ht="36" customHeight="1">
      <c r="A165"/>
      <c r="B165"/>
      <c r="C165"/>
      <c r="D165"/>
      <c r="E165"/>
      <c r="F165"/>
      <c r="G165"/>
      <c r="H165" t="str">
        <f t="shared" si="2"/>
        <v xml:space="preserve"> </v>
      </c>
      <c r="I165" t="str" cm="1">
        <f t="array" ref="I165">IF(F165=0," ",IF(ISBLANK(INDEX(Initial_Component_aggregator!F:F,MATCH(F165,Initial_Component_aggregator!B:B,0))),"No change",INDEX(Initial_Component_aggregator!F:F,MATCH(F165,Initial_Component_aggregator!B:B,0))))</f>
        <v xml:space="preserve"> </v>
      </c>
      <c r="J165" t="str" cm="1">
        <f t="array" ref="J165">IF(F165=0," ",IF(ISBLANK(INDEX(Initial_Component_aggregator!H:H,MATCH(F165,Initial_Component_aggregator!B:B,0))),F165,INDEX(Initial_Component_aggregator!H:H,MATCH(F165,Initial_Component_aggregator!B:B,0))))</f>
        <v xml:space="preserve"> </v>
      </c>
      <c r="K165" t="str" cm="1">
        <f t="array" ref="K165">IF(F165=0," ",IF(ISBLANK(INDEX(Initial_Component_aggregator!H:H,MATCH(F165,Initial_Component_aggregator!B:B))),D165,INDEX(Initial_Component_aggregator!I:I,MATCH(J165,Initial_Component_aggregator!H:H))))</f>
        <v xml:space="preserve"> </v>
      </c>
      <c r="L165" t="str" cm="1">
        <f t="array" ref="L165">IF(F165=0," ",IF(ISBLANK(INDEX(Initial_Component_aggregator!H:H,MATCH(F165,Initial_Component_aggregator!B:B))),E165,INDEX(Initial_Component_aggregator!J:J,MATCH(J165,Initial_Component_aggregator!H:H))))</f>
        <v xml:space="preserve"> </v>
      </c>
      <c r="M165" t="str" cm="1">
        <f t="array" ref="M165">IF(F165=0," ",IF(ISBLANK(INDEX(Initial_Component_aggregator!H:H,MATCH(F165,Initial_Component_aggregator!B:B))),F165,INDEX(Initial_Component_aggregator!K:K,MATCH(J165,Initial_Component_aggregator!H:H))))</f>
        <v xml:space="preserve"> </v>
      </c>
    </row>
    <row r="166" spans="1:13" ht="36" customHeight="1">
      <c r="A166"/>
      <c r="B166"/>
      <c r="C166"/>
      <c r="D166"/>
      <c r="E166"/>
      <c r="F166"/>
      <c r="G166"/>
      <c r="H166" t="str">
        <f t="shared" si="2"/>
        <v xml:space="preserve"> </v>
      </c>
      <c r="I166" t="str" cm="1">
        <f t="array" ref="I166">IF(F166=0," ",IF(ISBLANK(INDEX(Initial_Component_aggregator!F:F,MATCH(F166,Initial_Component_aggregator!B:B,0))),"No change",INDEX(Initial_Component_aggregator!F:F,MATCH(F166,Initial_Component_aggregator!B:B,0))))</f>
        <v xml:space="preserve"> </v>
      </c>
      <c r="J166" t="str" cm="1">
        <f t="array" ref="J166">IF(F166=0," ",IF(ISBLANK(INDEX(Initial_Component_aggregator!H:H,MATCH(F166,Initial_Component_aggregator!B:B,0))),F166,INDEX(Initial_Component_aggregator!H:H,MATCH(F166,Initial_Component_aggregator!B:B,0))))</f>
        <v xml:space="preserve"> </v>
      </c>
      <c r="K166" t="str" cm="1">
        <f t="array" ref="K166">IF(F166=0," ",IF(ISBLANK(INDEX(Initial_Component_aggregator!H:H,MATCH(F166,Initial_Component_aggregator!B:B))),D166,INDEX(Initial_Component_aggregator!I:I,MATCH(J166,Initial_Component_aggregator!H:H))))</f>
        <v xml:space="preserve"> </v>
      </c>
      <c r="L166" t="str" cm="1">
        <f t="array" ref="L166">IF(F166=0," ",IF(ISBLANK(INDEX(Initial_Component_aggregator!H:H,MATCH(F166,Initial_Component_aggregator!B:B))),E166,INDEX(Initial_Component_aggregator!J:J,MATCH(J166,Initial_Component_aggregator!H:H))))</f>
        <v xml:space="preserve"> </v>
      </c>
      <c r="M166" t="str" cm="1">
        <f t="array" ref="M166">IF(F166=0," ",IF(ISBLANK(INDEX(Initial_Component_aggregator!H:H,MATCH(F166,Initial_Component_aggregator!B:B))),F166,INDEX(Initial_Component_aggregator!K:K,MATCH(J166,Initial_Component_aggregator!H:H))))</f>
        <v xml:space="preserve"> </v>
      </c>
    </row>
    <row r="167" spans="1:13" ht="36" customHeight="1">
      <c r="A167"/>
      <c r="B167"/>
      <c r="C167"/>
      <c r="D167"/>
      <c r="E167"/>
      <c r="F167"/>
      <c r="G167"/>
      <c r="H167" t="str">
        <f t="shared" si="2"/>
        <v xml:space="preserve"> </v>
      </c>
      <c r="I167" t="str" cm="1">
        <f t="array" ref="I167">IF(F167=0," ",IF(ISBLANK(INDEX(Initial_Component_aggregator!F:F,MATCH(F167,Initial_Component_aggregator!B:B,0))),"No change",INDEX(Initial_Component_aggregator!F:F,MATCH(F167,Initial_Component_aggregator!B:B,0))))</f>
        <v xml:space="preserve"> </v>
      </c>
      <c r="J167" t="str" cm="1">
        <f t="array" ref="J167">IF(F167=0," ",IF(ISBLANK(INDEX(Initial_Component_aggregator!H:H,MATCH(F167,Initial_Component_aggregator!B:B,0))),F167,INDEX(Initial_Component_aggregator!H:H,MATCH(F167,Initial_Component_aggregator!B:B,0))))</f>
        <v xml:space="preserve"> </v>
      </c>
      <c r="K167" t="str" cm="1">
        <f t="array" ref="K167">IF(F167=0," ",IF(ISBLANK(INDEX(Initial_Component_aggregator!H:H,MATCH(F167,Initial_Component_aggregator!B:B))),D167,INDEX(Initial_Component_aggregator!I:I,MATCH(J167,Initial_Component_aggregator!H:H))))</f>
        <v xml:space="preserve"> </v>
      </c>
      <c r="L167" t="str" cm="1">
        <f t="array" ref="L167">IF(F167=0," ",IF(ISBLANK(INDEX(Initial_Component_aggregator!H:H,MATCH(F167,Initial_Component_aggregator!B:B))),E167,INDEX(Initial_Component_aggregator!J:J,MATCH(J167,Initial_Component_aggregator!H:H))))</f>
        <v xml:space="preserve"> </v>
      </c>
      <c r="M167" t="str" cm="1">
        <f t="array" ref="M167">IF(F167=0," ",IF(ISBLANK(INDEX(Initial_Component_aggregator!H:H,MATCH(F167,Initial_Component_aggregator!B:B))),F167,INDEX(Initial_Component_aggregator!K:K,MATCH(J167,Initial_Component_aggregator!H:H))))</f>
        <v xml:space="preserve"> </v>
      </c>
    </row>
    <row r="168" spans="1:13" ht="36" customHeight="1">
      <c r="A168"/>
      <c r="B168"/>
      <c r="C168"/>
      <c r="D168"/>
      <c r="E168"/>
      <c r="F168"/>
      <c r="G168"/>
      <c r="H168" t="str">
        <f t="shared" si="2"/>
        <v xml:space="preserve"> </v>
      </c>
      <c r="I168" t="str" cm="1">
        <f t="array" ref="I168">IF(F168=0," ",IF(ISBLANK(INDEX(Initial_Component_aggregator!F:F,MATCH(F168,Initial_Component_aggregator!B:B,0))),"No change",INDEX(Initial_Component_aggregator!F:F,MATCH(F168,Initial_Component_aggregator!B:B,0))))</f>
        <v xml:space="preserve"> </v>
      </c>
      <c r="J168" t="str" cm="1">
        <f t="array" ref="J168">IF(F168=0," ",IF(ISBLANK(INDEX(Initial_Component_aggregator!H:H,MATCH(F168,Initial_Component_aggregator!B:B,0))),F168,INDEX(Initial_Component_aggregator!H:H,MATCH(F168,Initial_Component_aggregator!B:B,0))))</f>
        <v xml:space="preserve"> </v>
      </c>
      <c r="K168" t="str" cm="1">
        <f t="array" ref="K168">IF(F168=0," ",IF(ISBLANK(INDEX(Initial_Component_aggregator!H:H,MATCH(F168,Initial_Component_aggregator!B:B))),D168,INDEX(Initial_Component_aggregator!I:I,MATCH(J168,Initial_Component_aggregator!H:H))))</f>
        <v xml:space="preserve"> </v>
      </c>
      <c r="L168" t="str" cm="1">
        <f t="array" ref="L168">IF(F168=0," ",IF(ISBLANK(INDEX(Initial_Component_aggregator!H:H,MATCH(F168,Initial_Component_aggregator!B:B))),E168,INDEX(Initial_Component_aggregator!J:J,MATCH(J168,Initial_Component_aggregator!H:H))))</f>
        <v xml:space="preserve"> </v>
      </c>
      <c r="M168" t="str" cm="1">
        <f t="array" ref="M168">IF(F168=0," ",IF(ISBLANK(INDEX(Initial_Component_aggregator!H:H,MATCH(F168,Initial_Component_aggregator!B:B))),F168,INDEX(Initial_Component_aggregator!K:K,MATCH(J168,Initial_Component_aggregator!H:H))))</f>
        <v xml:space="preserve"> </v>
      </c>
    </row>
    <row r="169" spans="1:13" ht="36" customHeight="1">
      <c r="A169"/>
      <c r="B169"/>
      <c r="C169"/>
      <c r="D169"/>
      <c r="E169"/>
      <c r="F169"/>
      <c r="G169"/>
      <c r="H169" t="str">
        <f t="shared" si="2"/>
        <v xml:space="preserve"> </v>
      </c>
      <c r="I169" t="str" cm="1">
        <f t="array" ref="I169">IF(F169=0," ",IF(ISBLANK(INDEX(Initial_Component_aggregator!F:F,MATCH(F169,Initial_Component_aggregator!B:B,0))),"No change",INDEX(Initial_Component_aggregator!F:F,MATCH(F169,Initial_Component_aggregator!B:B,0))))</f>
        <v xml:space="preserve"> </v>
      </c>
      <c r="J169" t="str" cm="1">
        <f t="array" ref="J169">IF(F169=0," ",IF(ISBLANK(INDEX(Initial_Component_aggregator!H:H,MATCH(F169,Initial_Component_aggregator!B:B,0))),F169,INDEX(Initial_Component_aggregator!H:H,MATCH(F169,Initial_Component_aggregator!B:B,0))))</f>
        <v xml:space="preserve"> </v>
      </c>
      <c r="K169" t="str" cm="1">
        <f t="array" ref="K169">IF(F169=0," ",IF(ISBLANK(INDEX(Initial_Component_aggregator!H:H,MATCH(F169,Initial_Component_aggregator!B:B))),D169,INDEX(Initial_Component_aggregator!I:I,MATCH(J169,Initial_Component_aggregator!H:H))))</f>
        <v xml:space="preserve"> </v>
      </c>
      <c r="L169" t="str" cm="1">
        <f t="array" ref="L169">IF(F169=0," ",IF(ISBLANK(INDEX(Initial_Component_aggregator!H:H,MATCH(F169,Initial_Component_aggregator!B:B))),E169,INDEX(Initial_Component_aggregator!J:J,MATCH(J169,Initial_Component_aggregator!H:H))))</f>
        <v xml:space="preserve"> </v>
      </c>
      <c r="M169" t="str" cm="1">
        <f t="array" ref="M169">IF(F169=0," ",IF(ISBLANK(INDEX(Initial_Component_aggregator!H:H,MATCH(F169,Initial_Component_aggregator!B:B))),F169,INDEX(Initial_Component_aggregator!K:K,MATCH(J169,Initial_Component_aggregator!H:H))))</f>
        <v xml:space="preserve"> </v>
      </c>
    </row>
    <row r="170" spans="1:13" ht="36" customHeight="1">
      <c r="A170"/>
      <c r="B170"/>
      <c r="C170"/>
      <c r="D170"/>
      <c r="E170"/>
      <c r="F170"/>
      <c r="G170"/>
      <c r="H170" t="str">
        <f t="shared" si="2"/>
        <v xml:space="preserve"> </v>
      </c>
      <c r="I170" t="str" cm="1">
        <f t="array" ref="I170">IF(F170=0," ",IF(ISBLANK(INDEX(Initial_Component_aggregator!F:F,MATCH(F170,Initial_Component_aggregator!B:B,0))),"No change",INDEX(Initial_Component_aggregator!F:F,MATCH(F170,Initial_Component_aggregator!B:B,0))))</f>
        <v xml:space="preserve"> </v>
      </c>
      <c r="J170" t="str" cm="1">
        <f t="array" ref="J170">IF(F170=0," ",IF(ISBLANK(INDEX(Initial_Component_aggregator!H:H,MATCH(F170,Initial_Component_aggregator!B:B,0))),F170,INDEX(Initial_Component_aggregator!H:H,MATCH(F170,Initial_Component_aggregator!B:B,0))))</f>
        <v xml:space="preserve"> </v>
      </c>
      <c r="K170" t="str" cm="1">
        <f t="array" ref="K170">IF(F170=0," ",IF(ISBLANK(INDEX(Initial_Component_aggregator!H:H,MATCH(F170,Initial_Component_aggregator!B:B))),D170,INDEX(Initial_Component_aggregator!I:I,MATCH(J170,Initial_Component_aggregator!H:H))))</f>
        <v xml:space="preserve"> </v>
      </c>
      <c r="L170" t="str" cm="1">
        <f t="array" ref="L170">IF(F170=0," ",IF(ISBLANK(INDEX(Initial_Component_aggregator!H:H,MATCH(F170,Initial_Component_aggregator!B:B))),E170,INDEX(Initial_Component_aggregator!J:J,MATCH(J170,Initial_Component_aggregator!H:H))))</f>
        <v xml:space="preserve"> </v>
      </c>
      <c r="M170" t="str" cm="1">
        <f t="array" ref="M170">IF(F170=0," ",IF(ISBLANK(INDEX(Initial_Component_aggregator!H:H,MATCH(F170,Initial_Component_aggregator!B:B))),F170,INDEX(Initial_Component_aggregator!K:K,MATCH(J170,Initial_Component_aggregator!H:H))))</f>
        <v xml:space="preserve"> </v>
      </c>
    </row>
    <row r="171" spans="1:13" ht="36" customHeight="1">
      <c r="A171"/>
      <c r="B171"/>
      <c r="C171"/>
      <c r="D171"/>
      <c r="E171"/>
      <c r="F171"/>
      <c r="G171"/>
      <c r="H171" t="str">
        <f t="shared" si="2"/>
        <v xml:space="preserve"> </v>
      </c>
      <c r="I171" t="str" cm="1">
        <f t="array" ref="I171">IF(F171=0," ",IF(ISBLANK(INDEX(Initial_Component_aggregator!F:F,MATCH(F171,Initial_Component_aggregator!B:B,0))),"No change",INDEX(Initial_Component_aggregator!F:F,MATCH(F171,Initial_Component_aggregator!B:B,0))))</f>
        <v xml:space="preserve"> </v>
      </c>
      <c r="J171" t="str" cm="1">
        <f t="array" ref="J171">IF(F171=0," ",IF(ISBLANK(INDEX(Initial_Component_aggregator!H:H,MATCH(F171,Initial_Component_aggregator!B:B,0))),F171,INDEX(Initial_Component_aggregator!H:H,MATCH(F171,Initial_Component_aggregator!B:B,0))))</f>
        <v xml:space="preserve"> </v>
      </c>
      <c r="K171" t="str" cm="1">
        <f t="array" ref="K171">IF(F171=0," ",IF(ISBLANK(INDEX(Initial_Component_aggregator!H:H,MATCH(F171,Initial_Component_aggregator!B:B))),D171,INDEX(Initial_Component_aggregator!I:I,MATCH(J171,Initial_Component_aggregator!H:H))))</f>
        <v xml:space="preserve"> </v>
      </c>
      <c r="L171" t="str" cm="1">
        <f t="array" ref="L171">IF(F171=0," ",IF(ISBLANK(INDEX(Initial_Component_aggregator!H:H,MATCH(F171,Initial_Component_aggregator!B:B))),E171,INDEX(Initial_Component_aggregator!J:J,MATCH(J171,Initial_Component_aggregator!H:H))))</f>
        <v xml:space="preserve"> </v>
      </c>
      <c r="M171" t="str" cm="1">
        <f t="array" ref="M171">IF(F171=0," ",IF(ISBLANK(INDEX(Initial_Component_aggregator!H:H,MATCH(F171,Initial_Component_aggregator!B:B))),F171,INDEX(Initial_Component_aggregator!K:K,MATCH(J171,Initial_Component_aggregator!H:H))))</f>
        <v xml:space="preserve"> </v>
      </c>
    </row>
    <row r="172" spans="1:13" ht="36" customHeight="1">
      <c r="A172"/>
      <c r="B172"/>
      <c r="C172"/>
      <c r="D172"/>
      <c r="E172"/>
      <c r="F172"/>
      <c r="G172"/>
      <c r="H172" t="str">
        <f t="shared" si="2"/>
        <v xml:space="preserve"> </v>
      </c>
      <c r="I172" t="str" cm="1">
        <f t="array" ref="I172">IF(F172=0," ",IF(ISBLANK(INDEX(Initial_Component_aggregator!F:F,MATCH(F172,Initial_Component_aggregator!B:B,0))),"No change",INDEX(Initial_Component_aggregator!F:F,MATCH(F172,Initial_Component_aggregator!B:B,0))))</f>
        <v xml:space="preserve"> </v>
      </c>
      <c r="J172" t="str" cm="1">
        <f t="array" ref="J172">IF(F172=0," ",IF(ISBLANK(INDEX(Initial_Component_aggregator!H:H,MATCH(F172,Initial_Component_aggregator!B:B,0))),F172,INDEX(Initial_Component_aggregator!H:H,MATCH(F172,Initial_Component_aggregator!B:B,0))))</f>
        <v xml:space="preserve"> </v>
      </c>
      <c r="K172" t="str" cm="1">
        <f t="array" ref="K172">IF(F172=0," ",IF(ISBLANK(INDEX(Initial_Component_aggregator!H:H,MATCH(F172,Initial_Component_aggregator!B:B))),D172,INDEX(Initial_Component_aggregator!I:I,MATCH(J172,Initial_Component_aggregator!H:H))))</f>
        <v xml:space="preserve"> </v>
      </c>
      <c r="L172" t="str" cm="1">
        <f t="array" ref="L172">IF(F172=0," ",IF(ISBLANK(INDEX(Initial_Component_aggregator!H:H,MATCH(F172,Initial_Component_aggregator!B:B))),E172,INDEX(Initial_Component_aggregator!J:J,MATCH(J172,Initial_Component_aggregator!H:H))))</f>
        <v xml:space="preserve"> </v>
      </c>
      <c r="M172" t="str" cm="1">
        <f t="array" ref="M172">IF(F172=0," ",IF(ISBLANK(INDEX(Initial_Component_aggregator!H:H,MATCH(F172,Initial_Component_aggregator!B:B))),F172,INDEX(Initial_Component_aggregator!K:K,MATCH(J172,Initial_Component_aggregator!H:H))))</f>
        <v xml:space="preserve"> </v>
      </c>
    </row>
    <row r="173" spans="1:13" ht="36" customHeight="1">
      <c r="A173"/>
      <c r="B173"/>
      <c r="C173"/>
      <c r="D173"/>
      <c r="E173"/>
      <c r="F173"/>
      <c r="G173"/>
      <c r="H173" t="str">
        <f t="shared" si="2"/>
        <v xml:space="preserve"> </v>
      </c>
      <c r="I173" t="str" cm="1">
        <f t="array" ref="I173">IF(F173=0," ",IF(ISBLANK(INDEX(Initial_Component_aggregator!F:F,MATCH(F173,Initial_Component_aggregator!B:B,0))),"No change",INDEX(Initial_Component_aggregator!F:F,MATCH(F173,Initial_Component_aggregator!B:B,0))))</f>
        <v xml:space="preserve"> </v>
      </c>
      <c r="J173" t="str" cm="1">
        <f t="array" ref="J173">IF(F173=0," ",IF(ISBLANK(INDEX(Initial_Component_aggregator!H:H,MATCH(F173,Initial_Component_aggregator!B:B,0))),F173,INDEX(Initial_Component_aggregator!H:H,MATCH(F173,Initial_Component_aggregator!B:B,0))))</f>
        <v xml:space="preserve"> </v>
      </c>
      <c r="K173" t="str" cm="1">
        <f t="array" ref="K173">IF(F173=0," ",IF(ISBLANK(INDEX(Initial_Component_aggregator!H:H,MATCH(F173,Initial_Component_aggregator!B:B))),D173,INDEX(Initial_Component_aggregator!I:I,MATCH(J173,Initial_Component_aggregator!H:H))))</f>
        <v xml:space="preserve"> </v>
      </c>
      <c r="L173" t="str" cm="1">
        <f t="array" ref="L173">IF(F173=0," ",IF(ISBLANK(INDEX(Initial_Component_aggregator!H:H,MATCH(F173,Initial_Component_aggregator!B:B))),E173,INDEX(Initial_Component_aggregator!J:J,MATCH(J173,Initial_Component_aggregator!H:H))))</f>
        <v xml:space="preserve"> </v>
      </c>
      <c r="M173" t="str" cm="1">
        <f t="array" ref="M173">IF(F173=0," ",IF(ISBLANK(INDEX(Initial_Component_aggregator!H:H,MATCH(F173,Initial_Component_aggregator!B:B))),F173,INDEX(Initial_Component_aggregator!K:K,MATCH(J173,Initial_Component_aggregator!H:H))))</f>
        <v xml:space="preserve"> </v>
      </c>
    </row>
    <row r="174" spans="1:13" ht="36" customHeight="1">
      <c r="A174"/>
      <c r="B174"/>
      <c r="C174"/>
      <c r="D174"/>
      <c r="E174"/>
      <c r="F174"/>
      <c r="G174"/>
      <c r="H174" t="str">
        <f t="shared" si="2"/>
        <v xml:space="preserve"> </v>
      </c>
      <c r="I174" t="str" cm="1">
        <f t="array" ref="I174">IF(F174=0," ",IF(ISBLANK(INDEX(Initial_Component_aggregator!F:F,MATCH(F174,Initial_Component_aggregator!B:B,0))),"No change",INDEX(Initial_Component_aggregator!F:F,MATCH(F174,Initial_Component_aggregator!B:B,0))))</f>
        <v xml:space="preserve"> </v>
      </c>
      <c r="J174" t="str" cm="1">
        <f t="array" ref="J174">IF(F174=0," ",IF(ISBLANK(INDEX(Initial_Component_aggregator!H:H,MATCH(F174,Initial_Component_aggregator!B:B,0))),F174,INDEX(Initial_Component_aggregator!H:H,MATCH(F174,Initial_Component_aggregator!B:B,0))))</f>
        <v xml:space="preserve"> </v>
      </c>
      <c r="K174" t="str" cm="1">
        <f t="array" ref="K174">IF(F174=0," ",IF(ISBLANK(INDEX(Initial_Component_aggregator!H:H,MATCH(F174,Initial_Component_aggregator!B:B))),D174,INDEX(Initial_Component_aggregator!I:I,MATCH(J174,Initial_Component_aggregator!H:H))))</f>
        <v xml:space="preserve"> </v>
      </c>
      <c r="L174" t="str" cm="1">
        <f t="array" ref="L174">IF(F174=0," ",IF(ISBLANK(INDEX(Initial_Component_aggregator!H:H,MATCH(F174,Initial_Component_aggregator!B:B))),E174,INDEX(Initial_Component_aggregator!J:J,MATCH(J174,Initial_Component_aggregator!H:H))))</f>
        <v xml:space="preserve"> </v>
      </c>
      <c r="M174" t="str" cm="1">
        <f t="array" ref="M174">IF(F174=0," ",IF(ISBLANK(INDEX(Initial_Component_aggregator!H:H,MATCH(F174,Initial_Component_aggregator!B:B))),F174,INDEX(Initial_Component_aggregator!K:K,MATCH(J174,Initial_Component_aggregator!H:H))))</f>
        <v xml:space="preserve"> </v>
      </c>
    </row>
    <row r="175" spans="1:13" ht="36" customHeight="1">
      <c r="A175"/>
      <c r="B175"/>
      <c r="C175"/>
      <c r="D175"/>
      <c r="E175"/>
      <c r="F175"/>
      <c r="G175"/>
      <c r="H175" t="str">
        <f t="shared" si="2"/>
        <v xml:space="preserve"> </v>
      </c>
      <c r="I175" t="str" cm="1">
        <f t="array" ref="I175">IF(F175=0," ",IF(ISBLANK(INDEX(Initial_Component_aggregator!F:F,MATCH(F175,Initial_Component_aggregator!B:B,0))),"No change",INDEX(Initial_Component_aggregator!F:F,MATCH(F175,Initial_Component_aggregator!B:B,0))))</f>
        <v xml:space="preserve"> </v>
      </c>
      <c r="J175" t="str" cm="1">
        <f t="array" ref="J175">IF(F175=0," ",IF(ISBLANK(INDEX(Initial_Component_aggregator!H:H,MATCH(F175,Initial_Component_aggregator!B:B,0))),F175,INDEX(Initial_Component_aggregator!H:H,MATCH(F175,Initial_Component_aggregator!B:B,0))))</f>
        <v xml:space="preserve"> </v>
      </c>
      <c r="K175" t="str" cm="1">
        <f t="array" ref="K175">IF(F175=0," ",IF(ISBLANK(INDEX(Initial_Component_aggregator!H:H,MATCH(F175,Initial_Component_aggregator!B:B))),D175,INDEX(Initial_Component_aggregator!I:I,MATCH(J175,Initial_Component_aggregator!H:H))))</f>
        <v xml:space="preserve"> </v>
      </c>
      <c r="L175" t="str" cm="1">
        <f t="array" ref="L175">IF(F175=0," ",IF(ISBLANK(INDEX(Initial_Component_aggregator!H:H,MATCH(F175,Initial_Component_aggregator!B:B))),E175,INDEX(Initial_Component_aggregator!J:J,MATCH(J175,Initial_Component_aggregator!H:H))))</f>
        <v xml:space="preserve"> </v>
      </c>
      <c r="M175" t="str" cm="1">
        <f t="array" ref="M175">IF(F175=0," ",IF(ISBLANK(INDEX(Initial_Component_aggregator!H:H,MATCH(F175,Initial_Component_aggregator!B:B))),F175,INDEX(Initial_Component_aggregator!K:K,MATCH(J175,Initial_Component_aggregator!H:H))))</f>
        <v xml:space="preserve"> </v>
      </c>
    </row>
    <row r="176" spans="1:13" ht="36" customHeight="1">
      <c r="A176"/>
      <c r="B176"/>
      <c r="C176"/>
      <c r="D176"/>
      <c r="E176"/>
      <c r="F176"/>
      <c r="G176"/>
      <c r="H176" t="str">
        <f t="shared" si="2"/>
        <v xml:space="preserve"> </v>
      </c>
      <c r="I176" t="str" cm="1">
        <f t="array" ref="I176">IF(F176=0," ",IF(ISBLANK(INDEX(Initial_Component_aggregator!F:F,MATCH(F176,Initial_Component_aggregator!B:B,0))),"No change",INDEX(Initial_Component_aggregator!F:F,MATCH(F176,Initial_Component_aggregator!B:B,0))))</f>
        <v xml:space="preserve"> </v>
      </c>
      <c r="J176" t="str" cm="1">
        <f t="array" ref="J176">IF(F176=0," ",IF(ISBLANK(INDEX(Initial_Component_aggregator!H:H,MATCH(F176,Initial_Component_aggregator!B:B,0))),F176,INDEX(Initial_Component_aggregator!H:H,MATCH(F176,Initial_Component_aggregator!B:B,0))))</f>
        <v xml:space="preserve"> </v>
      </c>
      <c r="K176" t="str" cm="1">
        <f t="array" ref="K176">IF(F176=0," ",IF(ISBLANK(INDEX(Initial_Component_aggregator!H:H,MATCH(F176,Initial_Component_aggregator!B:B))),D176,INDEX(Initial_Component_aggregator!I:I,MATCH(J176,Initial_Component_aggregator!H:H))))</f>
        <v xml:space="preserve"> </v>
      </c>
      <c r="L176" t="str" cm="1">
        <f t="array" ref="L176">IF(F176=0," ",IF(ISBLANK(INDEX(Initial_Component_aggregator!H:H,MATCH(F176,Initial_Component_aggregator!B:B))),E176,INDEX(Initial_Component_aggregator!J:J,MATCH(J176,Initial_Component_aggregator!H:H))))</f>
        <v xml:space="preserve"> </v>
      </c>
      <c r="M176" t="str" cm="1">
        <f t="array" ref="M176">IF(F176=0," ",IF(ISBLANK(INDEX(Initial_Component_aggregator!H:H,MATCH(F176,Initial_Component_aggregator!B:B))),F176,INDEX(Initial_Component_aggregator!K:K,MATCH(J176,Initial_Component_aggregator!H:H))))</f>
        <v xml:space="preserve"> </v>
      </c>
    </row>
    <row r="177" spans="1:13" ht="36" customHeight="1">
      <c r="A177"/>
      <c r="B177"/>
      <c r="C177"/>
      <c r="D177"/>
      <c r="E177"/>
      <c r="F177"/>
      <c r="G177"/>
      <c r="H177" t="str">
        <f t="shared" si="2"/>
        <v xml:space="preserve"> </v>
      </c>
      <c r="I177" t="str" cm="1">
        <f t="array" ref="I177">IF(F177=0," ",IF(ISBLANK(INDEX(Initial_Component_aggregator!F:F,MATCH(F177,Initial_Component_aggregator!B:B,0))),"No change",INDEX(Initial_Component_aggregator!F:F,MATCH(F177,Initial_Component_aggregator!B:B,0))))</f>
        <v xml:space="preserve"> </v>
      </c>
      <c r="J177" t="str" cm="1">
        <f t="array" ref="J177">IF(F177=0," ",IF(ISBLANK(INDEX(Initial_Component_aggregator!H:H,MATCH(F177,Initial_Component_aggregator!B:B,0))),F177,INDEX(Initial_Component_aggregator!H:H,MATCH(F177,Initial_Component_aggregator!B:B,0))))</f>
        <v xml:space="preserve"> </v>
      </c>
      <c r="K177" t="str" cm="1">
        <f t="array" ref="K177">IF(F177=0," ",IF(ISBLANK(INDEX(Initial_Component_aggregator!H:H,MATCH(F177,Initial_Component_aggregator!B:B))),D177,INDEX(Initial_Component_aggregator!I:I,MATCH(J177,Initial_Component_aggregator!H:H))))</f>
        <v xml:space="preserve"> </v>
      </c>
      <c r="L177" t="str" cm="1">
        <f t="array" ref="L177">IF(F177=0," ",IF(ISBLANK(INDEX(Initial_Component_aggregator!H:H,MATCH(F177,Initial_Component_aggregator!B:B))),E177,INDEX(Initial_Component_aggregator!J:J,MATCH(J177,Initial_Component_aggregator!H:H))))</f>
        <v xml:space="preserve"> </v>
      </c>
      <c r="M177" t="str" cm="1">
        <f t="array" ref="M177">IF(F177=0," ",IF(ISBLANK(INDEX(Initial_Component_aggregator!H:H,MATCH(F177,Initial_Component_aggregator!B:B))),F177,INDEX(Initial_Component_aggregator!K:K,MATCH(J177,Initial_Component_aggregator!H:H))))</f>
        <v xml:space="preserve"> </v>
      </c>
    </row>
    <row r="178" spans="1:13" ht="36" customHeight="1">
      <c r="A178"/>
      <c r="B178"/>
      <c r="C178"/>
      <c r="D178"/>
      <c r="E178"/>
      <c r="F178"/>
      <c r="G178"/>
      <c r="H178" t="str">
        <f t="shared" si="2"/>
        <v xml:space="preserve"> </v>
      </c>
      <c r="I178" t="str" cm="1">
        <f t="array" ref="I178">IF(F178=0," ",IF(ISBLANK(INDEX(Initial_Component_aggregator!F:F,MATCH(F178,Initial_Component_aggregator!B:B,0))),"No change",INDEX(Initial_Component_aggregator!F:F,MATCH(F178,Initial_Component_aggregator!B:B,0))))</f>
        <v xml:space="preserve"> </v>
      </c>
      <c r="J178" t="str" cm="1">
        <f t="array" ref="J178">IF(F178=0," ",IF(ISBLANK(INDEX(Initial_Component_aggregator!H:H,MATCH(F178,Initial_Component_aggregator!B:B,0))),F178,INDEX(Initial_Component_aggregator!H:H,MATCH(F178,Initial_Component_aggregator!B:B,0))))</f>
        <v xml:space="preserve"> </v>
      </c>
      <c r="K178" t="str" cm="1">
        <f t="array" ref="K178">IF(F178=0," ",IF(ISBLANK(INDEX(Initial_Component_aggregator!H:H,MATCH(F178,Initial_Component_aggregator!B:B))),D178,INDEX(Initial_Component_aggregator!I:I,MATCH(J178,Initial_Component_aggregator!H:H))))</f>
        <v xml:space="preserve"> </v>
      </c>
      <c r="L178" t="str" cm="1">
        <f t="array" ref="L178">IF(F178=0," ",IF(ISBLANK(INDEX(Initial_Component_aggregator!H:H,MATCH(F178,Initial_Component_aggregator!B:B))),E178,INDEX(Initial_Component_aggregator!J:J,MATCH(J178,Initial_Component_aggregator!H:H))))</f>
        <v xml:space="preserve"> </v>
      </c>
      <c r="M178" t="str" cm="1">
        <f t="array" ref="M178">IF(F178=0," ",IF(ISBLANK(INDEX(Initial_Component_aggregator!H:H,MATCH(F178,Initial_Component_aggregator!B:B))),F178,INDEX(Initial_Component_aggregator!K:K,MATCH(J178,Initial_Component_aggregator!H:H))))</f>
        <v xml:space="preserve"> </v>
      </c>
    </row>
    <row r="179" spans="1:13" ht="36" customHeight="1">
      <c r="A179"/>
      <c r="B179"/>
      <c r="C179"/>
      <c r="D179"/>
      <c r="E179"/>
      <c r="F179"/>
      <c r="G179"/>
      <c r="H179" t="str">
        <f t="shared" si="2"/>
        <v xml:space="preserve"> </v>
      </c>
      <c r="I179" t="str" cm="1">
        <f t="array" ref="I179">IF(F179=0," ",IF(ISBLANK(INDEX(Initial_Component_aggregator!F:F,MATCH(F179,Initial_Component_aggregator!B:B,0))),"No change",INDEX(Initial_Component_aggregator!F:F,MATCH(F179,Initial_Component_aggregator!B:B,0))))</f>
        <v xml:space="preserve"> </v>
      </c>
      <c r="J179" t="str" cm="1">
        <f t="array" ref="J179">IF(F179=0," ",IF(ISBLANK(INDEX(Initial_Component_aggregator!H:H,MATCH(F179,Initial_Component_aggregator!B:B,0))),F179,INDEX(Initial_Component_aggregator!H:H,MATCH(F179,Initial_Component_aggregator!B:B,0))))</f>
        <v xml:space="preserve"> </v>
      </c>
      <c r="K179" t="str" cm="1">
        <f t="array" ref="K179">IF(F179=0," ",IF(ISBLANK(INDEX(Initial_Component_aggregator!H:H,MATCH(F179,Initial_Component_aggregator!B:B))),D179,INDEX(Initial_Component_aggregator!I:I,MATCH(J179,Initial_Component_aggregator!H:H))))</f>
        <v xml:space="preserve"> </v>
      </c>
      <c r="L179" t="str" cm="1">
        <f t="array" ref="L179">IF(F179=0," ",IF(ISBLANK(INDEX(Initial_Component_aggregator!H:H,MATCH(F179,Initial_Component_aggregator!B:B))),E179,INDEX(Initial_Component_aggregator!J:J,MATCH(J179,Initial_Component_aggregator!H:H))))</f>
        <v xml:space="preserve"> </v>
      </c>
      <c r="M179" t="str" cm="1">
        <f t="array" ref="M179">IF(F179=0," ",IF(ISBLANK(INDEX(Initial_Component_aggregator!H:H,MATCH(F179,Initial_Component_aggregator!B:B))),F179,INDEX(Initial_Component_aggregator!K:K,MATCH(J179,Initial_Component_aggregator!H:H))))</f>
        <v xml:space="preserve"> </v>
      </c>
    </row>
    <row r="180" spans="1:13" ht="36" customHeight="1">
      <c r="A180"/>
      <c r="B180"/>
      <c r="C180"/>
      <c r="D180"/>
      <c r="E180"/>
      <c r="F180"/>
      <c r="G180"/>
      <c r="H180" t="str">
        <f t="shared" si="2"/>
        <v xml:space="preserve"> </v>
      </c>
      <c r="I180" t="str" cm="1">
        <f t="array" ref="I180">IF(F180=0," ",IF(ISBLANK(INDEX(Initial_Component_aggregator!F:F,MATCH(F180,Initial_Component_aggregator!B:B,0))),"No change",INDEX(Initial_Component_aggregator!F:F,MATCH(F180,Initial_Component_aggregator!B:B,0))))</f>
        <v xml:space="preserve"> </v>
      </c>
      <c r="J180" t="str" cm="1">
        <f t="array" ref="J180">IF(F180=0," ",IF(ISBLANK(INDEX(Initial_Component_aggregator!H:H,MATCH(F180,Initial_Component_aggregator!B:B,0))),F180,INDEX(Initial_Component_aggregator!H:H,MATCH(F180,Initial_Component_aggregator!B:B,0))))</f>
        <v xml:space="preserve"> </v>
      </c>
      <c r="K180" t="str" cm="1">
        <f t="array" ref="K180">IF(F180=0," ",IF(ISBLANK(INDEX(Initial_Component_aggregator!H:H,MATCH(F180,Initial_Component_aggregator!B:B))),D180,INDEX(Initial_Component_aggregator!I:I,MATCH(J180,Initial_Component_aggregator!H:H))))</f>
        <v xml:space="preserve"> </v>
      </c>
      <c r="L180" t="str" cm="1">
        <f t="array" ref="L180">IF(F180=0," ",IF(ISBLANK(INDEX(Initial_Component_aggregator!H:H,MATCH(F180,Initial_Component_aggregator!B:B))),E180,INDEX(Initial_Component_aggregator!J:J,MATCH(J180,Initial_Component_aggregator!H:H))))</f>
        <v xml:space="preserve"> </v>
      </c>
      <c r="M180" t="str" cm="1">
        <f t="array" ref="M180">IF(F180=0," ",IF(ISBLANK(INDEX(Initial_Component_aggregator!H:H,MATCH(F180,Initial_Component_aggregator!B:B))),F180,INDEX(Initial_Component_aggregator!K:K,MATCH(J180,Initial_Component_aggregator!H:H))))</f>
        <v xml:space="preserve"> </v>
      </c>
    </row>
    <row r="181" spans="1:13" ht="36" customHeight="1">
      <c r="A181"/>
      <c r="B181"/>
      <c r="C181"/>
      <c r="D181"/>
      <c r="E181"/>
      <c r="F181"/>
      <c r="G181"/>
      <c r="H181" t="str">
        <f t="shared" si="2"/>
        <v xml:space="preserve"> </v>
      </c>
      <c r="I181" t="str" cm="1">
        <f t="array" ref="I181">IF(F181=0," ",IF(ISBLANK(INDEX(Initial_Component_aggregator!F:F,MATCH(F181,Initial_Component_aggregator!B:B,0))),"No change",INDEX(Initial_Component_aggregator!F:F,MATCH(F181,Initial_Component_aggregator!B:B,0))))</f>
        <v xml:space="preserve"> </v>
      </c>
      <c r="J181" t="str" cm="1">
        <f t="array" ref="J181">IF(F181=0," ",IF(ISBLANK(INDEX(Initial_Component_aggregator!H:H,MATCH(F181,Initial_Component_aggregator!B:B,0))),F181,INDEX(Initial_Component_aggregator!H:H,MATCH(F181,Initial_Component_aggregator!B:B,0))))</f>
        <v xml:space="preserve"> </v>
      </c>
      <c r="K181" t="str" cm="1">
        <f t="array" ref="K181">IF(F181=0," ",IF(ISBLANK(INDEX(Initial_Component_aggregator!H:H,MATCH(F181,Initial_Component_aggregator!B:B))),D181,INDEX(Initial_Component_aggregator!I:I,MATCH(J181,Initial_Component_aggregator!H:H))))</f>
        <v xml:space="preserve"> </v>
      </c>
      <c r="L181" t="str" cm="1">
        <f t="array" ref="L181">IF(F181=0," ",IF(ISBLANK(INDEX(Initial_Component_aggregator!H:H,MATCH(F181,Initial_Component_aggregator!B:B))),E181,INDEX(Initial_Component_aggregator!J:J,MATCH(J181,Initial_Component_aggregator!H:H))))</f>
        <v xml:space="preserve"> </v>
      </c>
      <c r="M181" t="str" cm="1">
        <f t="array" ref="M181">IF(F181=0," ",IF(ISBLANK(INDEX(Initial_Component_aggregator!H:H,MATCH(F181,Initial_Component_aggregator!B:B))),F181,INDEX(Initial_Component_aggregator!K:K,MATCH(J181,Initial_Component_aggregator!H:H))))</f>
        <v xml:space="preserve"> </v>
      </c>
    </row>
    <row r="182" spans="1:13" ht="36" customHeight="1">
      <c r="A182"/>
      <c r="B182"/>
      <c r="C182"/>
      <c r="D182"/>
      <c r="E182"/>
      <c r="F182"/>
      <c r="G182"/>
      <c r="H182" t="str">
        <f t="shared" si="2"/>
        <v xml:space="preserve"> </v>
      </c>
      <c r="I182" t="str" cm="1">
        <f t="array" ref="I182">IF(F182=0," ",IF(ISBLANK(INDEX(Initial_Component_aggregator!F:F,MATCH(F182,Initial_Component_aggregator!B:B,0))),"No change",INDEX(Initial_Component_aggregator!F:F,MATCH(F182,Initial_Component_aggregator!B:B,0))))</f>
        <v xml:space="preserve"> </v>
      </c>
      <c r="J182" t="str" cm="1">
        <f t="array" ref="J182">IF(F182=0," ",IF(ISBLANK(INDEX(Initial_Component_aggregator!H:H,MATCH(F182,Initial_Component_aggregator!B:B,0))),F182,INDEX(Initial_Component_aggregator!H:H,MATCH(F182,Initial_Component_aggregator!B:B,0))))</f>
        <v xml:space="preserve"> </v>
      </c>
      <c r="K182" t="str" cm="1">
        <f t="array" ref="K182">IF(F182=0," ",IF(ISBLANK(INDEX(Initial_Component_aggregator!H:H,MATCH(F182,Initial_Component_aggregator!B:B))),D182,INDEX(Initial_Component_aggregator!I:I,MATCH(J182,Initial_Component_aggregator!H:H))))</f>
        <v xml:space="preserve"> </v>
      </c>
      <c r="L182" t="str" cm="1">
        <f t="array" ref="L182">IF(F182=0," ",IF(ISBLANK(INDEX(Initial_Component_aggregator!H:H,MATCH(F182,Initial_Component_aggregator!B:B))),E182,INDEX(Initial_Component_aggregator!J:J,MATCH(J182,Initial_Component_aggregator!H:H))))</f>
        <v xml:space="preserve"> </v>
      </c>
      <c r="M182" t="str" cm="1">
        <f t="array" ref="M182">IF(F182=0," ",IF(ISBLANK(INDEX(Initial_Component_aggregator!H:H,MATCH(F182,Initial_Component_aggregator!B:B))),F182,INDEX(Initial_Component_aggregator!K:K,MATCH(J182,Initial_Component_aggregator!H:H))))</f>
        <v xml:space="preserve"> </v>
      </c>
    </row>
    <row r="183" spans="1:13" ht="36" customHeight="1">
      <c r="A183"/>
      <c r="B183"/>
      <c r="C183"/>
      <c r="D183"/>
      <c r="E183"/>
      <c r="F183"/>
      <c r="G183"/>
      <c r="H183" t="str">
        <f t="shared" si="2"/>
        <v xml:space="preserve"> </v>
      </c>
      <c r="I183" t="str" cm="1">
        <f t="array" ref="I183">IF(F183=0," ",IF(ISBLANK(INDEX(Initial_Component_aggregator!F:F,MATCH(F183,Initial_Component_aggregator!B:B,0))),"No change",INDEX(Initial_Component_aggregator!F:F,MATCH(F183,Initial_Component_aggregator!B:B,0))))</f>
        <v xml:space="preserve"> </v>
      </c>
      <c r="J183" t="str" cm="1">
        <f t="array" ref="J183">IF(F183=0," ",IF(ISBLANK(INDEX(Initial_Component_aggregator!H:H,MATCH(F183,Initial_Component_aggregator!B:B,0))),F183,INDEX(Initial_Component_aggregator!H:H,MATCH(F183,Initial_Component_aggregator!B:B,0))))</f>
        <v xml:space="preserve"> </v>
      </c>
      <c r="K183" t="str" cm="1">
        <f t="array" ref="K183">IF(F183=0," ",IF(ISBLANK(INDEX(Initial_Component_aggregator!H:H,MATCH(F183,Initial_Component_aggregator!B:B))),D183,INDEX(Initial_Component_aggregator!I:I,MATCH(J183,Initial_Component_aggregator!H:H))))</f>
        <v xml:space="preserve"> </v>
      </c>
      <c r="L183" t="str" cm="1">
        <f t="array" ref="L183">IF(F183=0," ",IF(ISBLANK(INDEX(Initial_Component_aggregator!H:H,MATCH(F183,Initial_Component_aggregator!B:B))),E183,INDEX(Initial_Component_aggregator!J:J,MATCH(J183,Initial_Component_aggregator!H:H))))</f>
        <v xml:space="preserve"> </v>
      </c>
      <c r="M183" t="str" cm="1">
        <f t="array" ref="M183">IF(F183=0," ",IF(ISBLANK(INDEX(Initial_Component_aggregator!H:H,MATCH(F183,Initial_Component_aggregator!B:B))),F183,INDEX(Initial_Component_aggregator!K:K,MATCH(J183,Initial_Component_aggregator!H:H))))</f>
        <v xml:space="preserve"> </v>
      </c>
    </row>
    <row r="184" spans="1:13" ht="36" customHeight="1">
      <c r="A184"/>
      <c r="B184"/>
      <c r="C184"/>
      <c r="D184"/>
      <c r="E184"/>
      <c r="F184"/>
      <c r="G184"/>
      <c r="H184" t="str">
        <f t="shared" si="2"/>
        <v xml:space="preserve"> </v>
      </c>
      <c r="I184" t="str" cm="1">
        <f t="array" ref="I184">IF(F184=0," ",IF(ISBLANK(INDEX(Initial_Component_aggregator!F:F,MATCH(F184,Initial_Component_aggregator!B:B,0))),"No change",INDEX(Initial_Component_aggregator!F:F,MATCH(F184,Initial_Component_aggregator!B:B,0))))</f>
        <v xml:space="preserve"> </v>
      </c>
      <c r="J184" t="str" cm="1">
        <f t="array" ref="J184">IF(F184=0," ",IF(ISBLANK(INDEX(Initial_Component_aggregator!H:H,MATCH(F184,Initial_Component_aggregator!B:B,0))),F184,INDEX(Initial_Component_aggregator!H:H,MATCH(F184,Initial_Component_aggregator!B:B,0))))</f>
        <v xml:space="preserve"> </v>
      </c>
      <c r="K184" t="str" cm="1">
        <f t="array" ref="K184">IF(F184=0," ",IF(ISBLANK(INDEX(Initial_Component_aggregator!H:H,MATCH(F184,Initial_Component_aggregator!B:B))),D184,INDEX(Initial_Component_aggregator!I:I,MATCH(J184,Initial_Component_aggregator!H:H))))</f>
        <v xml:space="preserve"> </v>
      </c>
      <c r="L184" t="str" cm="1">
        <f t="array" ref="L184">IF(F184=0," ",IF(ISBLANK(INDEX(Initial_Component_aggregator!H:H,MATCH(F184,Initial_Component_aggregator!B:B))),E184,INDEX(Initial_Component_aggregator!J:J,MATCH(J184,Initial_Component_aggregator!H:H))))</f>
        <v xml:space="preserve"> </v>
      </c>
      <c r="M184" t="str" cm="1">
        <f t="array" ref="M184">IF(F184=0," ",IF(ISBLANK(INDEX(Initial_Component_aggregator!H:H,MATCH(F184,Initial_Component_aggregator!B:B))),F184,INDEX(Initial_Component_aggregator!K:K,MATCH(J184,Initial_Component_aggregator!H:H))))</f>
        <v xml:space="preserve"> </v>
      </c>
    </row>
    <row r="185" spans="1:13" ht="36" customHeight="1">
      <c r="A185"/>
      <c r="B185"/>
      <c r="C185"/>
      <c r="D185"/>
      <c r="E185"/>
      <c r="F185"/>
      <c r="G185"/>
      <c r="H185" t="str">
        <f t="shared" si="2"/>
        <v xml:space="preserve"> </v>
      </c>
      <c r="I185" t="str" cm="1">
        <f t="array" ref="I185">IF(F185=0," ",IF(ISBLANK(INDEX(Initial_Component_aggregator!F:F,MATCH(F185,Initial_Component_aggregator!B:B,0))),"No change",INDEX(Initial_Component_aggregator!F:F,MATCH(F185,Initial_Component_aggregator!B:B,0))))</f>
        <v xml:space="preserve"> </v>
      </c>
      <c r="J185" t="str" cm="1">
        <f t="array" ref="J185">IF(F185=0," ",IF(ISBLANK(INDEX(Initial_Component_aggregator!H:H,MATCH(F185,Initial_Component_aggregator!B:B,0))),F185,INDEX(Initial_Component_aggregator!H:H,MATCH(F185,Initial_Component_aggregator!B:B,0))))</f>
        <v xml:space="preserve"> </v>
      </c>
      <c r="K185" t="str" cm="1">
        <f t="array" ref="K185">IF(F185=0," ",IF(ISBLANK(INDEX(Initial_Component_aggregator!H:H,MATCH(F185,Initial_Component_aggregator!B:B))),D185,INDEX(Initial_Component_aggregator!I:I,MATCH(J185,Initial_Component_aggregator!H:H))))</f>
        <v xml:space="preserve"> </v>
      </c>
      <c r="L185" t="str" cm="1">
        <f t="array" ref="L185">IF(F185=0," ",IF(ISBLANK(INDEX(Initial_Component_aggregator!H:H,MATCH(F185,Initial_Component_aggregator!B:B))),E185,INDEX(Initial_Component_aggregator!J:J,MATCH(J185,Initial_Component_aggregator!H:H))))</f>
        <v xml:space="preserve"> </v>
      </c>
      <c r="M185" t="str" cm="1">
        <f t="array" ref="M185">IF(F185=0," ",IF(ISBLANK(INDEX(Initial_Component_aggregator!H:H,MATCH(F185,Initial_Component_aggregator!B:B))),F185,INDEX(Initial_Component_aggregator!K:K,MATCH(J185,Initial_Component_aggregator!H:H))))</f>
        <v xml:space="preserve"> </v>
      </c>
    </row>
    <row r="186" spans="1:13" ht="36" customHeight="1">
      <c r="A186"/>
      <c r="B186"/>
      <c r="C186"/>
      <c r="D186"/>
      <c r="E186"/>
      <c r="F186"/>
      <c r="G186"/>
      <c r="H186" t="str">
        <f t="shared" si="2"/>
        <v xml:space="preserve"> </v>
      </c>
      <c r="I186" t="str" cm="1">
        <f t="array" ref="I186">IF(F186=0," ",IF(ISBLANK(INDEX(Initial_Component_aggregator!F:F,MATCH(F186,Initial_Component_aggregator!B:B,0))),"No change",INDEX(Initial_Component_aggregator!F:F,MATCH(F186,Initial_Component_aggregator!B:B,0))))</f>
        <v xml:space="preserve"> </v>
      </c>
      <c r="J186" t="str" cm="1">
        <f t="array" ref="J186">IF(F186=0," ",IF(ISBLANK(INDEX(Initial_Component_aggregator!H:H,MATCH(F186,Initial_Component_aggregator!B:B,0))),F186,INDEX(Initial_Component_aggregator!H:H,MATCH(F186,Initial_Component_aggregator!B:B,0))))</f>
        <v xml:space="preserve"> </v>
      </c>
      <c r="K186" t="str" cm="1">
        <f t="array" ref="K186">IF(F186=0," ",IF(ISBLANK(INDEX(Initial_Component_aggregator!H:H,MATCH(F186,Initial_Component_aggregator!B:B))),D186,INDEX(Initial_Component_aggregator!I:I,MATCH(J186,Initial_Component_aggregator!H:H))))</f>
        <v xml:space="preserve"> </v>
      </c>
      <c r="L186" t="str" cm="1">
        <f t="array" ref="L186">IF(F186=0," ",IF(ISBLANK(INDEX(Initial_Component_aggregator!H:H,MATCH(F186,Initial_Component_aggregator!B:B))),E186,INDEX(Initial_Component_aggregator!J:J,MATCH(J186,Initial_Component_aggregator!H:H))))</f>
        <v xml:space="preserve"> </v>
      </c>
      <c r="M186" t="str" cm="1">
        <f t="array" ref="M186">IF(F186=0," ",IF(ISBLANK(INDEX(Initial_Component_aggregator!H:H,MATCH(F186,Initial_Component_aggregator!B:B))),F186,INDEX(Initial_Component_aggregator!K:K,MATCH(J186,Initial_Component_aggregator!H:H))))</f>
        <v xml:space="preserve"> </v>
      </c>
    </row>
    <row r="187" spans="1:13" ht="36" customHeight="1">
      <c r="A187"/>
      <c r="B187"/>
      <c r="C187"/>
      <c r="D187"/>
      <c r="E187"/>
      <c r="F187"/>
      <c r="G187"/>
      <c r="H187" t="str">
        <f t="shared" si="2"/>
        <v xml:space="preserve"> </v>
      </c>
      <c r="I187" t="str" cm="1">
        <f t="array" ref="I187">IF(F187=0," ",IF(ISBLANK(INDEX(Initial_Component_aggregator!F:F,MATCH(F187,Initial_Component_aggregator!B:B,0))),"No change",INDEX(Initial_Component_aggregator!F:F,MATCH(F187,Initial_Component_aggregator!B:B,0))))</f>
        <v xml:space="preserve"> </v>
      </c>
      <c r="J187" t="str" cm="1">
        <f t="array" ref="J187">IF(F187=0," ",IF(ISBLANK(INDEX(Initial_Component_aggregator!H:H,MATCH(F187,Initial_Component_aggregator!B:B,0))),F187,INDEX(Initial_Component_aggregator!H:H,MATCH(F187,Initial_Component_aggregator!B:B,0))))</f>
        <v xml:space="preserve"> </v>
      </c>
      <c r="K187" t="str" cm="1">
        <f t="array" ref="K187">IF(F187=0," ",IF(ISBLANK(INDEX(Initial_Component_aggregator!H:H,MATCH(F187,Initial_Component_aggregator!B:B))),D187,INDEX(Initial_Component_aggregator!I:I,MATCH(J187,Initial_Component_aggregator!H:H))))</f>
        <v xml:space="preserve"> </v>
      </c>
      <c r="L187" t="str" cm="1">
        <f t="array" ref="L187">IF(F187=0," ",IF(ISBLANK(INDEX(Initial_Component_aggregator!H:H,MATCH(F187,Initial_Component_aggregator!B:B))),E187,INDEX(Initial_Component_aggregator!J:J,MATCH(J187,Initial_Component_aggregator!H:H))))</f>
        <v xml:space="preserve"> </v>
      </c>
      <c r="M187" t="str" cm="1">
        <f t="array" ref="M187">IF(F187=0," ",IF(ISBLANK(INDEX(Initial_Component_aggregator!H:H,MATCH(F187,Initial_Component_aggregator!B:B))),F187,INDEX(Initial_Component_aggregator!K:K,MATCH(J187,Initial_Component_aggregator!H:H))))</f>
        <v xml:space="preserve"> </v>
      </c>
    </row>
    <row r="188" spans="1:13" ht="36" customHeight="1">
      <c r="A188"/>
      <c r="B188"/>
      <c r="C188"/>
      <c r="D188"/>
      <c r="E188"/>
      <c r="F188"/>
      <c r="G188"/>
      <c r="H188" t="str">
        <f t="shared" si="2"/>
        <v xml:space="preserve"> </v>
      </c>
      <c r="I188" t="str" cm="1">
        <f t="array" ref="I188">IF(F188=0," ",IF(ISBLANK(INDEX(Initial_Component_aggregator!F:F,MATCH(F188,Initial_Component_aggregator!B:B,0))),"No change",INDEX(Initial_Component_aggregator!F:F,MATCH(F188,Initial_Component_aggregator!B:B,0))))</f>
        <v xml:space="preserve"> </v>
      </c>
      <c r="J188" t="str" cm="1">
        <f t="array" ref="J188">IF(F188=0," ",IF(ISBLANK(INDEX(Initial_Component_aggregator!H:H,MATCH(F188,Initial_Component_aggregator!B:B,0))),F188,INDEX(Initial_Component_aggregator!H:H,MATCH(F188,Initial_Component_aggregator!B:B,0))))</f>
        <v xml:space="preserve"> </v>
      </c>
      <c r="K188" t="str" cm="1">
        <f t="array" ref="K188">IF(F188=0," ",IF(ISBLANK(INDEX(Initial_Component_aggregator!H:H,MATCH(F188,Initial_Component_aggregator!B:B))),D188,INDEX(Initial_Component_aggregator!I:I,MATCH(J188,Initial_Component_aggregator!H:H))))</f>
        <v xml:space="preserve"> </v>
      </c>
      <c r="L188" t="str" cm="1">
        <f t="array" ref="L188">IF(F188=0," ",IF(ISBLANK(INDEX(Initial_Component_aggregator!H:H,MATCH(F188,Initial_Component_aggregator!B:B))),E188,INDEX(Initial_Component_aggregator!J:J,MATCH(J188,Initial_Component_aggregator!H:H))))</f>
        <v xml:space="preserve"> </v>
      </c>
      <c r="M188" t="str" cm="1">
        <f t="array" ref="M188">IF(F188=0," ",IF(ISBLANK(INDEX(Initial_Component_aggregator!H:H,MATCH(F188,Initial_Component_aggregator!B:B))),F188,INDEX(Initial_Component_aggregator!K:K,MATCH(J188,Initial_Component_aggregator!H:H))))</f>
        <v xml:space="preserve"> </v>
      </c>
    </row>
    <row r="189" spans="1:13" ht="36" customHeight="1">
      <c r="A189"/>
      <c r="B189"/>
      <c r="C189"/>
      <c r="D189"/>
      <c r="E189"/>
      <c r="F189"/>
      <c r="G189"/>
      <c r="H189" t="str">
        <f t="shared" si="2"/>
        <v xml:space="preserve"> </v>
      </c>
      <c r="I189" t="str" cm="1">
        <f t="array" ref="I189">IF(F189=0," ",IF(ISBLANK(INDEX(Initial_Component_aggregator!F:F,MATCH(F189,Initial_Component_aggregator!B:B,0))),"No change",INDEX(Initial_Component_aggregator!F:F,MATCH(F189,Initial_Component_aggregator!B:B,0))))</f>
        <v xml:space="preserve"> </v>
      </c>
      <c r="J189" t="str" cm="1">
        <f t="array" ref="J189">IF(F189=0," ",IF(ISBLANK(INDEX(Initial_Component_aggregator!H:H,MATCH(F189,Initial_Component_aggregator!B:B,0))),F189,INDEX(Initial_Component_aggregator!H:H,MATCH(F189,Initial_Component_aggregator!B:B,0))))</f>
        <v xml:space="preserve"> </v>
      </c>
      <c r="K189" t="str" cm="1">
        <f t="array" ref="K189">IF(F189=0," ",IF(ISBLANK(INDEX(Initial_Component_aggregator!H:H,MATCH(F189,Initial_Component_aggregator!B:B))),D189,INDEX(Initial_Component_aggregator!I:I,MATCH(J189,Initial_Component_aggregator!H:H))))</f>
        <v xml:space="preserve"> </v>
      </c>
      <c r="L189" t="str" cm="1">
        <f t="array" ref="L189">IF(F189=0," ",IF(ISBLANK(INDEX(Initial_Component_aggregator!H:H,MATCH(F189,Initial_Component_aggregator!B:B))),E189,INDEX(Initial_Component_aggregator!J:J,MATCH(J189,Initial_Component_aggregator!H:H))))</f>
        <v xml:space="preserve"> </v>
      </c>
      <c r="M189" t="str" cm="1">
        <f t="array" ref="M189">IF(F189=0," ",IF(ISBLANK(INDEX(Initial_Component_aggregator!H:H,MATCH(F189,Initial_Component_aggregator!B:B))),F189,INDEX(Initial_Component_aggregator!K:K,MATCH(J189,Initial_Component_aggregator!H:H))))</f>
        <v xml:space="preserve"> </v>
      </c>
    </row>
    <row r="190" spans="1:13" ht="36" customHeight="1">
      <c r="A190"/>
      <c r="B190"/>
      <c r="C190"/>
      <c r="D190"/>
      <c r="E190"/>
      <c r="F190"/>
      <c r="G190"/>
      <c r="H190" t="str">
        <f t="shared" si="2"/>
        <v xml:space="preserve"> </v>
      </c>
      <c r="I190" t="str" cm="1">
        <f t="array" ref="I190">IF(F190=0," ",IF(ISBLANK(INDEX(Initial_Component_aggregator!F:F,MATCH(F190,Initial_Component_aggregator!B:B,0))),"No change",INDEX(Initial_Component_aggregator!F:F,MATCH(F190,Initial_Component_aggregator!B:B,0))))</f>
        <v xml:space="preserve"> </v>
      </c>
      <c r="J190" t="str" cm="1">
        <f t="array" ref="J190">IF(F190=0," ",IF(ISBLANK(INDEX(Initial_Component_aggregator!H:H,MATCH(F190,Initial_Component_aggregator!B:B,0))),F190,INDEX(Initial_Component_aggregator!H:H,MATCH(F190,Initial_Component_aggregator!B:B,0))))</f>
        <v xml:space="preserve"> </v>
      </c>
      <c r="K190" t="str" cm="1">
        <f t="array" ref="K190">IF(F190=0," ",IF(ISBLANK(INDEX(Initial_Component_aggregator!H:H,MATCH(F190,Initial_Component_aggregator!B:B))),D190,INDEX(Initial_Component_aggregator!I:I,MATCH(J190,Initial_Component_aggregator!H:H))))</f>
        <v xml:space="preserve"> </v>
      </c>
      <c r="L190" t="str" cm="1">
        <f t="array" ref="L190">IF(F190=0," ",IF(ISBLANK(INDEX(Initial_Component_aggregator!H:H,MATCH(F190,Initial_Component_aggregator!B:B))),E190,INDEX(Initial_Component_aggregator!J:J,MATCH(J190,Initial_Component_aggregator!H:H))))</f>
        <v xml:space="preserve"> </v>
      </c>
      <c r="M190" t="str" cm="1">
        <f t="array" ref="M190">IF(F190=0," ",IF(ISBLANK(INDEX(Initial_Component_aggregator!H:H,MATCH(F190,Initial_Component_aggregator!B:B))),F190,INDEX(Initial_Component_aggregator!K:K,MATCH(J190,Initial_Component_aggregator!H:H))))</f>
        <v xml:space="preserve"> </v>
      </c>
    </row>
    <row r="191" spans="1:13" ht="36" customHeight="1">
      <c r="A191"/>
      <c r="B191"/>
      <c r="C191"/>
      <c r="D191"/>
      <c r="E191"/>
      <c r="F191"/>
      <c r="G191"/>
      <c r="H191" t="str">
        <f t="shared" si="2"/>
        <v xml:space="preserve"> </v>
      </c>
      <c r="I191" t="str" cm="1">
        <f t="array" ref="I191">IF(F191=0," ",IF(ISBLANK(INDEX(Initial_Component_aggregator!F:F,MATCH(F191,Initial_Component_aggregator!B:B,0))),"No change",INDEX(Initial_Component_aggregator!F:F,MATCH(F191,Initial_Component_aggregator!B:B,0))))</f>
        <v xml:space="preserve"> </v>
      </c>
      <c r="J191" t="str" cm="1">
        <f t="array" ref="J191">IF(F191=0," ",IF(ISBLANK(INDEX(Initial_Component_aggregator!H:H,MATCH(F191,Initial_Component_aggregator!B:B,0))),F191,INDEX(Initial_Component_aggregator!H:H,MATCH(F191,Initial_Component_aggregator!B:B,0))))</f>
        <v xml:space="preserve"> </v>
      </c>
      <c r="K191" t="str" cm="1">
        <f t="array" ref="K191">IF(F191=0," ",IF(ISBLANK(INDEX(Initial_Component_aggregator!H:H,MATCH(F191,Initial_Component_aggregator!B:B))),D191,INDEX(Initial_Component_aggregator!I:I,MATCH(J191,Initial_Component_aggregator!H:H))))</f>
        <v xml:space="preserve"> </v>
      </c>
      <c r="L191" t="str" cm="1">
        <f t="array" ref="L191">IF(F191=0," ",IF(ISBLANK(INDEX(Initial_Component_aggregator!H:H,MATCH(F191,Initial_Component_aggregator!B:B))),E191,INDEX(Initial_Component_aggregator!J:J,MATCH(J191,Initial_Component_aggregator!H:H))))</f>
        <v xml:space="preserve"> </v>
      </c>
      <c r="M191" t="str" cm="1">
        <f t="array" ref="M191">IF(F191=0," ",IF(ISBLANK(INDEX(Initial_Component_aggregator!H:H,MATCH(F191,Initial_Component_aggregator!B:B))),F191,INDEX(Initial_Component_aggregator!K:K,MATCH(J191,Initial_Component_aggregator!H:H))))</f>
        <v xml:space="preserve"> </v>
      </c>
    </row>
    <row r="192" spans="1:13" ht="36" customHeight="1">
      <c r="A192"/>
      <c r="B192"/>
      <c r="C192"/>
      <c r="D192"/>
      <c r="E192"/>
      <c r="F192"/>
      <c r="G192"/>
      <c r="H192" t="str">
        <f t="shared" si="2"/>
        <v xml:space="preserve"> </v>
      </c>
      <c r="I192" t="str" cm="1">
        <f t="array" ref="I192">IF(F192=0," ",IF(ISBLANK(INDEX(Initial_Component_aggregator!F:F,MATCH(F192,Initial_Component_aggregator!B:B,0))),"No change",INDEX(Initial_Component_aggregator!F:F,MATCH(F192,Initial_Component_aggregator!B:B,0))))</f>
        <v xml:space="preserve"> </v>
      </c>
      <c r="J192" t="str" cm="1">
        <f t="array" ref="J192">IF(F192=0," ",IF(ISBLANK(INDEX(Initial_Component_aggregator!H:H,MATCH(F192,Initial_Component_aggregator!B:B,0))),F192,INDEX(Initial_Component_aggregator!H:H,MATCH(F192,Initial_Component_aggregator!B:B,0))))</f>
        <v xml:space="preserve"> </v>
      </c>
      <c r="K192" t="str" cm="1">
        <f t="array" ref="K192">IF(F192=0," ",IF(ISBLANK(INDEX(Initial_Component_aggregator!H:H,MATCH(F192,Initial_Component_aggregator!B:B))),D192,INDEX(Initial_Component_aggregator!I:I,MATCH(J192,Initial_Component_aggregator!H:H))))</f>
        <v xml:space="preserve"> </v>
      </c>
      <c r="L192" t="str" cm="1">
        <f t="array" ref="L192">IF(F192=0," ",IF(ISBLANK(INDEX(Initial_Component_aggregator!H:H,MATCH(F192,Initial_Component_aggregator!B:B))),E192,INDEX(Initial_Component_aggregator!J:J,MATCH(J192,Initial_Component_aggregator!H:H))))</f>
        <v xml:space="preserve"> </v>
      </c>
      <c r="M192" t="str" cm="1">
        <f t="array" ref="M192">IF(F192=0," ",IF(ISBLANK(INDEX(Initial_Component_aggregator!H:H,MATCH(F192,Initial_Component_aggregator!B:B))),F192,INDEX(Initial_Component_aggregator!K:K,MATCH(J192,Initial_Component_aggregator!H:H))))</f>
        <v xml:space="preserve"> </v>
      </c>
    </row>
    <row r="193" spans="1:13" ht="36" customHeight="1">
      <c r="A193"/>
      <c r="B193"/>
      <c r="C193"/>
      <c r="D193"/>
      <c r="E193"/>
      <c r="F193"/>
      <c r="G193"/>
      <c r="H193" t="str">
        <f t="shared" si="2"/>
        <v xml:space="preserve"> </v>
      </c>
      <c r="I193" t="str" cm="1">
        <f t="array" ref="I193">IF(F193=0," ",IF(ISBLANK(INDEX(Initial_Component_aggregator!F:F,MATCH(F193,Initial_Component_aggregator!B:B,0))),"No change",INDEX(Initial_Component_aggregator!F:F,MATCH(F193,Initial_Component_aggregator!B:B,0))))</f>
        <v xml:space="preserve"> </v>
      </c>
      <c r="J193" t="str" cm="1">
        <f t="array" ref="J193">IF(F193=0," ",IF(ISBLANK(INDEX(Initial_Component_aggregator!H:H,MATCH(F193,Initial_Component_aggregator!B:B,0))),F193,INDEX(Initial_Component_aggregator!H:H,MATCH(F193,Initial_Component_aggregator!B:B,0))))</f>
        <v xml:space="preserve"> </v>
      </c>
      <c r="K193" t="str" cm="1">
        <f t="array" ref="K193">IF(F193=0," ",IF(ISBLANK(INDEX(Initial_Component_aggregator!H:H,MATCH(F193,Initial_Component_aggregator!B:B))),D193,INDEX(Initial_Component_aggregator!I:I,MATCH(J193,Initial_Component_aggregator!H:H))))</f>
        <v xml:space="preserve"> </v>
      </c>
      <c r="L193" t="str" cm="1">
        <f t="array" ref="L193">IF(F193=0," ",IF(ISBLANK(INDEX(Initial_Component_aggregator!H:H,MATCH(F193,Initial_Component_aggregator!B:B))),E193,INDEX(Initial_Component_aggregator!J:J,MATCH(J193,Initial_Component_aggregator!H:H))))</f>
        <v xml:space="preserve"> </v>
      </c>
      <c r="M193" t="str" cm="1">
        <f t="array" ref="M193">IF(F193=0," ",IF(ISBLANK(INDEX(Initial_Component_aggregator!H:H,MATCH(F193,Initial_Component_aggregator!B:B))),F193,INDEX(Initial_Component_aggregator!K:K,MATCH(J193,Initial_Component_aggregator!H:H))))</f>
        <v xml:space="preserve"> </v>
      </c>
    </row>
    <row r="194" spans="1:13" ht="36" customHeight="1">
      <c r="A194"/>
      <c r="B194"/>
      <c r="C194"/>
      <c r="D194"/>
      <c r="E194"/>
      <c r="F194"/>
      <c r="G194"/>
      <c r="H194" t="str">
        <f t="shared" si="2"/>
        <v xml:space="preserve"> </v>
      </c>
      <c r="I194" t="str" cm="1">
        <f t="array" ref="I194">IF(F194=0," ",IF(ISBLANK(INDEX(Initial_Component_aggregator!F:F,MATCH(F194,Initial_Component_aggregator!B:B,0))),"No change",INDEX(Initial_Component_aggregator!F:F,MATCH(F194,Initial_Component_aggregator!B:B,0))))</f>
        <v xml:space="preserve"> </v>
      </c>
      <c r="J194" t="str" cm="1">
        <f t="array" ref="J194">IF(F194=0," ",IF(ISBLANK(INDEX(Initial_Component_aggregator!H:H,MATCH(F194,Initial_Component_aggregator!B:B,0))),F194,INDEX(Initial_Component_aggregator!H:H,MATCH(F194,Initial_Component_aggregator!B:B,0))))</f>
        <v xml:space="preserve"> </v>
      </c>
      <c r="K194" t="str" cm="1">
        <f t="array" ref="K194">IF(F194=0," ",IF(ISBLANK(INDEX(Initial_Component_aggregator!H:H,MATCH(F194,Initial_Component_aggregator!B:B))),D194,INDEX(Initial_Component_aggregator!I:I,MATCH(J194,Initial_Component_aggregator!H:H))))</f>
        <v xml:space="preserve"> </v>
      </c>
      <c r="L194" t="str" cm="1">
        <f t="array" ref="L194">IF(F194=0," ",IF(ISBLANK(INDEX(Initial_Component_aggregator!H:H,MATCH(F194,Initial_Component_aggregator!B:B))),E194,INDEX(Initial_Component_aggregator!J:J,MATCH(J194,Initial_Component_aggregator!H:H))))</f>
        <v xml:space="preserve"> </v>
      </c>
      <c r="M194" t="str" cm="1">
        <f t="array" ref="M194">IF(F194=0," ",IF(ISBLANK(INDEX(Initial_Component_aggregator!H:H,MATCH(F194,Initial_Component_aggregator!B:B))),F194,INDEX(Initial_Component_aggregator!K:K,MATCH(J194,Initial_Component_aggregator!H:H))))</f>
        <v xml:space="preserve"> </v>
      </c>
    </row>
    <row r="195" spans="1:13" ht="36" customHeight="1">
      <c r="A195"/>
      <c r="B195"/>
      <c r="C195"/>
      <c r="D195"/>
      <c r="E195"/>
      <c r="F195"/>
      <c r="G195"/>
      <c r="H195" t="str">
        <f t="shared" ref="H195:H258" si="3">IF(F195=0," ",(AND(IF(J195=F195,0,1),F195&lt;&gt;0)))</f>
        <v xml:space="preserve"> </v>
      </c>
      <c r="I195" t="str" cm="1">
        <f t="array" ref="I195">IF(F195=0," ",IF(ISBLANK(INDEX(Initial_Component_aggregator!F:F,MATCH(F195,Initial_Component_aggregator!B:B,0))),"No change",INDEX(Initial_Component_aggregator!F:F,MATCH(F195,Initial_Component_aggregator!B:B,0))))</f>
        <v xml:space="preserve"> </v>
      </c>
      <c r="J195" t="str" cm="1">
        <f t="array" ref="J195">IF(F195=0," ",IF(ISBLANK(INDEX(Initial_Component_aggregator!H:H,MATCH(F195,Initial_Component_aggregator!B:B,0))),F195,INDEX(Initial_Component_aggregator!H:H,MATCH(F195,Initial_Component_aggregator!B:B,0))))</f>
        <v xml:space="preserve"> </v>
      </c>
      <c r="K195" t="str" cm="1">
        <f t="array" ref="K195">IF(F195=0," ",IF(ISBLANK(INDEX(Initial_Component_aggregator!H:H,MATCH(F195,Initial_Component_aggregator!B:B))),D195,INDEX(Initial_Component_aggregator!I:I,MATCH(J195,Initial_Component_aggregator!H:H))))</f>
        <v xml:space="preserve"> </v>
      </c>
      <c r="L195" t="str" cm="1">
        <f t="array" ref="L195">IF(F195=0," ",IF(ISBLANK(INDEX(Initial_Component_aggregator!H:H,MATCH(F195,Initial_Component_aggregator!B:B))),E195,INDEX(Initial_Component_aggregator!J:J,MATCH(J195,Initial_Component_aggregator!H:H))))</f>
        <v xml:space="preserve"> </v>
      </c>
      <c r="M195" t="str" cm="1">
        <f t="array" ref="M195">IF(F195=0," ",IF(ISBLANK(INDEX(Initial_Component_aggregator!H:H,MATCH(F195,Initial_Component_aggregator!B:B))),F195,INDEX(Initial_Component_aggregator!K:K,MATCH(J195,Initial_Component_aggregator!H:H))))</f>
        <v xml:space="preserve"> </v>
      </c>
    </row>
    <row r="196" spans="1:13" ht="36" customHeight="1">
      <c r="A196"/>
      <c r="B196"/>
      <c r="C196"/>
      <c r="D196"/>
      <c r="E196"/>
      <c r="F196"/>
      <c r="G196"/>
      <c r="H196" t="str">
        <f t="shared" si="3"/>
        <v xml:space="preserve"> </v>
      </c>
      <c r="I196" t="str" cm="1">
        <f t="array" ref="I196">IF(F196=0," ",IF(ISBLANK(INDEX(Initial_Component_aggregator!F:F,MATCH(F196,Initial_Component_aggregator!B:B,0))),"No change",INDEX(Initial_Component_aggregator!F:F,MATCH(F196,Initial_Component_aggregator!B:B,0))))</f>
        <v xml:space="preserve"> </v>
      </c>
      <c r="J196" t="str" cm="1">
        <f t="array" ref="J196">IF(F196=0," ",IF(ISBLANK(INDEX(Initial_Component_aggregator!H:H,MATCH(F196,Initial_Component_aggregator!B:B,0))),F196,INDEX(Initial_Component_aggregator!H:H,MATCH(F196,Initial_Component_aggregator!B:B,0))))</f>
        <v xml:space="preserve"> </v>
      </c>
      <c r="K196" t="str" cm="1">
        <f t="array" ref="K196">IF(F196=0," ",IF(ISBLANK(INDEX(Initial_Component_aggregator!H:H,MATCH(F196,Initial_Component_aggregator!B:B))),D196,INDEX(Initial_Component_aggregator!I:I,MATCH(J196,Initial_Component_aggregator!H:H))))</f>
        <v xml:space="preserve"> </v>
      </c>
      <c r="L196" t="str" cm="1">
        <f t="array" ref="L196">IF(F196=0," ",IF(ISBLANK(INDEX(Initial_Component_aggregator!H:H,MATCH(F196,Initial_Component_aggregator!B:B))),E196,INDEX(Initial_Component_aggregator!J:J,MATCH(J196,Initial_Component_aggregator!H:H))))</f>
        <v xml:space="preserve"> </v>
      </c>
      <c r="M196" t="str" cm="1">
        <f t="array" ref="M196">IF(F196=0," ",IF(ISBLANK(INDEX(Initial_Component_aggregator!H:H,MATCH(F196,Initial_Component_aggregator!B:B))),F196,INDEX(Initial_Component_aggregator!K:K,MATCH(J196,Initial_Component_aggregator!H:H))))</f>
        <v xml:space="preserve"> </v>
      </c>
    </row>
    <row r="197" spans="1:13" ht="36" customHeight="1">
      <c r="A197"/>
      <c r="B197"/>
      <c r="C197"/>
      <c r="D197"/>
      <c r="E197"/>
      <c r="F197"/>
      <c r="G197"/>
      <c r="H197" t="str">
        <f t="shared" si="3"/>
        <v xml:space="preserve"> </v>
      </c>
      <c r="I197" t="str" cm="1">
        <f t="array" ref="I197">IF(F197=0," ",IF(ISBLANK(INDEX(Initial_Component_aggregator!F:F,MATCH(F197,Initial_Component_aggregator!B:B,0))),"No change",INDEX(Initial_Component_aggregator!F:F,MATCH(F197,Initial_Component_aggregator!B:B,0))))</f>
        <v xml:space="preserve"> </v>
      </c>
      <c r="J197" t="str" cm="1">
        <f t="array" ref="J197">IF(F197=0," ",IF(ISBLANK(INDEX(Initial_Component_aggregator!H:H,MATCH(F197,Initial_Component_aggregator!B:B,0))),F197,INDEX(Initial_Component_aggregator!H:H,MATCH(F197,Initial_Component_aggregator!B:B,0))))</f>
        <v xml:space="preserve"> </v>
      </c>
      <c r="K197" t="str" cm="1">
        <f t="array" ref="K197">IF(F197=0," ",IF(ISBLANK(INDEX(Initial_Component_aggregator!H:H,MATCH(F197,Initial_Component_aggregator!B:B))),D197,INDEX(Initial_Component_aggregator!I:I,MATCH(J197,Initial_Component_aggregator!H:H))))</f>
        <v xml:space="preserve"> </v>
      </c>
      <c r="L197" t="str" cm="1">
        <f t="array" ref="L197">IF(F197=0," ",IF(ISBLANK(INDEX(Initial_Component_aggregator!H:H,MATCH(F197,Initial_Component_aggregator!B:B))),E197,INDEX(Initial_Component_aggregator!J:J,MATCH(J197,Initial_Component_aggregator!H:H))))</f>
        <v xml:space="preserve"> </v>
      </c>
      <c r="M197" t="str" cm="1">
        <f t="array" ref="M197">IF(F197=0," ",IF(ISBLANK(INDEX(Initial_Component_aggregator!H:H,MATCH(F197,Initial_Component_aggregator!B:B))),F197,INDEX(Initial_Component_aggregator!K:K,MATCH(J197,Initial_Component_aggregator!H:H))))</f>
        <v xml:space="preserve"> </v>
      </c>
    </row>
    <row r="198" spans="1:13" ht="36" customHeight="1">
      <c r="A198"/>
      <c r="B198"/>
      <c r="C198"/>
      <c r="D198"/>
      <c r="E198"/>
      <c r="F198"/>
      <c r="G198"/>
      <c r="H198" t="str">
        <f t="shared" si="3"/>
        <v xml:space="preserve"> </v>
      </c>
      <c r="I198" t="str" cm="1">
        <f t="array" ref="I198">IF(F198=0," ",IF(ISBLANK(INDEX(Initial_Component_aggregator!F:F,MATCH(F198,Initial_Component_aggregator!B:B,0))),"No change",INDEX(Initial_Component_aggregator!F:F,MATCH(F198,Initial_Component_aggregator!B:B,0))))</f>
        <v xml:space="preserve"> </v>
      </c>
      <c r="J198" t="str" cm="1">
        <f t="array" ref="J198">IF(F198=0," ",IF(ISBLANK(INDEX(Initial_Component_aggregator!H:H,MATCH(F198,Initial_Component_aggregator!B:B,0))),F198,INDEX(Initial_Component_aggregator!H:H,MATCH(F198,Initial_Component_aggregator!B:B,0))))</f>
        <v xml:space="preserve"> </v>
      </c>
      <c r="K198" t="str" cm="1">
        <f t="array" ref="K198">IF(F198=0," ",IF(ISBLANK(INDEX(Initial_Component_aggregator!H:H,MATCH(F198,Initial_Component_aggregator!B:B))),D198,INDEX(Initial_Component_aggregator!I:I,MATCH(J198,Initial_Component_aggregator!H:H))))</f>
        <v xml:space="preserve"> </v>
      </c>
      <c r="L198" t="str" cm="1">
        <f t="array" ref="L198">IF(F198=0," ",IF(ISBLANK(INDEX(Initial_Component_aggregator!H:H,MATCH(F198,Initial_Component_aggregator!B:B))),E198,INDEX(Initial_Component_aggregator!J:J,MATCH(J198,Initial_Component_aggregator!H:H))))</f>
        <v xml:space="preserve"> </v>
      </c>
      <c r="M198" t="str" cm="1">
        <f t="array" ref="M198">IF(F198=0," ",IF(ISBLANK(INDEX(Initial_Component_aggregator!H:H,MATCH(F198,Initial_Component_aggregator!B:B))),F198,INDEX(Initial_Component_aggregator!K:K,MATCH(J198,Initial_Component_aggregator!H:H))))</f>
        <v xml:space="preserve"> </v>
      </c>
    </row>
    <row r="199" spans="1:13" ht="36" customHeight="1">
      <c r="A199"/>
      <c r="B199"/>
      <c r="C199"/>
      <c r="D199"/>
      <c r="E199"/>
      <c r="F199"/>
      <c r="G199"/>
      <c r="H199" t="str">
        <f t="shared" si="3"/>
        <v xml:space="preserve"> </v>
      </c>
      <c r="I199" t="str" cm="1">
        <f t="array" ref="I199">IF(F199=0," ",IF(ISBLANK(INDEX(Initial_Component_aggregator!F:F,MATCH(F199,Initial_Component_aggregator!B:B,0))),"No change",INDEX(Initial_Component_aggregator!F:F,MATCH(F199,Initial_Component_aggregator!B:B,0))))</f>
        <v xml:space="preserve"> </v>
      </c>
      <c r="J199" t="str" cm="1">
        <f t="array" ref="J199">IF(F199=0," ",IF(ISBLANK(INDEX(Initial_Component_aggregator!H:H,MATCH(F199,Initial_Component_aggregator!B:B,0))),F199,INDEX(Initial_Component_aggregator!H:H,MATCH(F199,Initial_Component_aggregator!B:B,0))))</f>
        <v xml:space="preserve"> </v>
      </c>
      <c r="K199" t="str" cm="1">
        <f t="array" ref="K199">IF(F199=0," ",IF(ISBLANK(INDEX(Initial_Component_aggregator!H:H,MATCH(F199,Initial_Component_aggregator!B:B))),D199,INDEX(Initial_Component_aggregator!I:I,MATCH(J199,Initial_Component_aggregator!H:H))))</f>
        <v xml:space="preserve"> </v>
      </c>
      <c r="L199" t="str" cm="1">
        <f t="array" ref="L199">IF(F199=0," ",IF(ISBLANK(INDEX(Initial_Component_aggregator!H:H,MATCH(F199,Initial_Component_aggregator!B:B))),E199,INDEX(Initial_Component_aggregator!J:J,MATCH(J199,Initial_Component_aggregator!H:H))))</f>
        <v xml:space="preserve"> </v>
      </c>
      <c r="M199" t="str" cm="1">
        <f t="array" ref="M199">IF(F199=0," ",IF(ISBLANK(INDEX(Initial_Component_aggregator!H:H,MATCH(F199,Initial_Component_aggregator!B:B))),F199,INDEX(Initial_Component_aggregator!K:K,MATCH(J199,Initial_Component_aggregator!H:H))))</f>
        <v xml:space="preserve"> </v>
      </c>
    </row>
    <row r="200" spans="1:13" ht="36" customHeight="1">
      <c r="A200"/>
      <c r="B200"/>
      <c r="C200"/>
      <c r="D200"/>
      <c r="E200"/>
      <c r="F200"/>
      <c r="G200"/>
      <c r="H200" t="str">
        <f t="shared" si="3"/>
        <v xml:space="preserve"> </v>
      </c>
      <c r="I200" t="str" cm="1">
        <f t="array" ref="I200">IF(F200=0," ",IF(ISBLANK(INDEX(Initial_Component_aggregator!F:F,MATCH(F200,Initial_Component_aggregator!B:B,0))),"No change",INDEX(Initial_Component_aggregator!F:F,MATCH(F200,Initial_Component_aggregator!B:B,0))))</f>
        <v xml:space="preserve"> </v>
      </c>
      <c r="J200" t="str" cm="1">
        <f t="array" ref="J200">IF(F200=0," ",IF(ISBLANK(INDEX(Initial_Component_aggregator!H:H,MATCH(F200,Initial_Component_aggregator!B:B,0))),F200,INDEX(Initial_Component_aggregator!H:H,MATCH(F200,Initial_Component_aggregator!B:B,0))))</f>
        <v xml:space="preserve"> </v>
      </c>
      <c r="K200" t="str" cm="1">
        <f t="array" ref="K200">IF(F200=0," ",IF(ISBLANK(INDEX(Initial_Component_aggregator!H:H,MATCH(F200,Initial_Component_aggregator!B:B))),D200,INDEX(Initial_Component_aggregator!I:I,MATCH(J200,Initial_Component_aggregator!H:H))))</f>
        <v xml:space="preserve"> </v>
      </c>
      <c r="L200" t="str" cm="1">
        <f t="array" ref="L200">IF(F200=0," ",IF(ISBLANK(INDEX(Initial_Component_aggregator!H:H,MATCH(F200,Initial_Component_aggregator!B:B))),E200,INDEX(Initial_Component_aggregator!J:J,MATCH(J200,Initial_Component_aggregator!H:H))))</f>
        <v xml:space="preserve"> </v>
      </c>
      <c r="M200" t="str" cm="1">
        <f t="array" ref="M200">IF(F200=0," ",IF(ISBLANK(INDEX(Initial_Component_aggregator!H:H,MATCH(F200,Initial_Component_aggregator!B:B))),F200,INDEX(Initial_Component_aggregator!K:K,MATCH(J200,Initial_Component_aggregator!H:H))))</f>
        <v xml:space="preserve"> </v>
      </c>
    </row>
    <row r="201" spans="1:13" ht="36" customHeight="1">
      <c r="A201"/>
      <c r="B201"/>
      <c r="C201"/>
      <c r="D201"/>
      <c r="E201"/>
      <c r="F201"/>
      <c r="G201"/>
      <c r="H201" t="str">
        <f t="shared" si="3"/>
        <v xml:space="preserve"> </v>
      </c>
      <c r="I201" t="str" cm="1">
        <f t="array" ref="I201">IF(F201=0," ",IF(ISBLANK(INDEX(Initial_Component_aggregator!F:F,MATCH(F201,Initial_Component_aggregator!B:B,0))),"No change",INDEX(Initial_Component_aggregator!F:F,MATCH(F201,Initial_Component_aggregator!B:B,0))))</f>
        <v xml:space="preserve"> </v>
      </c>
      <c r="J201" t="str" cm="1">
        <f t="array" ref="J201">IF(F201=0," ",IF(ISBLANK(INDEX(Initial_Component_aggregator!H:H,MATCH(F201,Initial_Component_aggregator!B:B,0))),F201,INDEX(Initial_Component_aggregator!H:H,MATCH(F201,Initial_Component_aggregator!B:B,0))))</f>
        <v xml:space="preserve"> </v>
      </c>
      <c r="K201" t="str" cm="1">
        <f t="array" ref="K201">IF(F201=0," ",IF(ISBLANK(INDEX(Initial_Component_aggregator!H:H,MATCH(F201,Initial_Component_aggregator!B:B))),D201,INDEX(Initial_Component_aggregator!I:I,MATCH(J201,Initial_Component_aggregator!H:H))))</f>
        <v xml:space="preserve"> </v>
      </c>
      <c r="L201" t="str" cm="1">
        <f t="array" ref="L201">IF(F201=0," ",IF(ISBLANK(INDEX(Initial_Component_aggregator!H:H,MATCH(F201,Initial_Component_aggregator!B:B))),E201,INDEX(Initial_Component_aggregator!J:J,MATCH(J201,Initial_Component_aggregator!H:H))))</f>
        <v xml:space="preserve"> </v>
      </c>
      <c r="M201" t="str" cm="1">
        <f t="array" ref="M201">IF(F201=0," ",IF(ISBLANK(INDEX(Initial_Component_aggregator!H:H,MATCH(F201,Initial_Component_aggregator!B:B))),F201,INDEX(Initial_Component_aggregator!K:K,MATCH(J201,Initial_Component_aggregator!H:H))))</f>
        <v xml:space="preserve"> </v>
      </c>
    </row>
    <row r="202" spans="1:13" ht="36" customHeight="1">
      <c r="A202"/>
      <c r="B202"/>
      <c r="C202"/>
      <c r="D202"/>
      <c r="E202"/>
      <c r="F202"/>
      <c r="G202"/>
      <c r="H202" t="str">
        <f t="shared" si="3"/>
        <v xml:space="preserve"> </v>
      </c>
      <c r="I202" t="str" cm="1">
        <f t="array" ref="I202">IF(F202=0," ",IF(ISBLANK(INDEX(Initial_Component_aggregator!F:F,MATCH(F202,Initial_Component_aggregator!B:B,0))),"No change",INDEX(Initial_Component_aggregator!F:F,MATCH(F202,Initial_Component_aggregator!B:B,0))))</f>
        <v xml:space="preserve"> </v>
      </c>
      <c r="J202" t="str" cm="1">
        <f t="array" ref="J202">IF(F202=0," ",IF(ISBLANK(INDEX(Initial_Component_aggregator!H:H,MATCH(F202,Initial_Component_aggregator!B:B,0))),F202,INDEX(Initial_Component_aggregator!H:H,MATCH(F202,Initial_Component_aggregator!B:B,0))))</f>
        <v xml:space="preserve"> </v>
      </c>
      <c r="K202" t="str" cm="1">
        <f t="array" ref="K202">IF(F202=0," ",IF(ISBLANK(INDEX(Initial_Component_aggregator!H:H,MATCH(F202,Initial_Component_aggregator!B:B))),D202,INDEX(Initial_Component_aggregator!I:I,MATCH(J202,Initial_Component_aggregator!H:H))))</f>
        <v xml:space="preserve"> </v>
      </c>
      <c r="L202" t="str" cm="1">
        <f t="array" ref="L202">IF(F202=0," ",IF(ISBLANK(INDEX(Initial_Component_aggregator!H:H,MATCH(F202,Initial_Component_aggregator!B:B))),E202,INDEX(Initial_Component_aggregator!J:J,MATCH(J202,Initial_Component_aggregator!H:H))))</f>
        <v xml:space="preserve"> </v>
      </c>
      <c r="M202" t="str" cm="1">
        <f t="array" ref="M202">IF(F202=0," ",IF(ISBLANK(INDEX(Initial_Component_aggregator!H:H,MATCH(F202,Initial_Component_aggregator!B:B))),F202,INDEX(Initial_Component_aggregator!K:K,MATCH(J202,Initial_Component_aggregator!H:H))))</f>
        <v xml:space="preserve"> </v>
      </c>
    </row>
    <row r="203" spans="1:13" ht="36" customHeight="1">
      <c r="A203"/>
      <c r="B203"/>
      <c r="C203"/>
      <c r="D203"/>
      <c r="E203"/>
      <c r="F203"/>
      <c r="G203"/>
      <c r="H203" t="str">
        <f t="shared" si="3"/>
        <v xml:space="preserve"> </v>
      </c>
      <c r="I203" t="str" cm="1">
        <f t="array" ref="I203">IF(F203=0," ",IF(ISBLANK(INDEX(Initial_Component_aggregator!F:F,MATCH(F203,Initial_Component_aggregator!B:B,0))),"No change",INDEX(Initial_Component_aggregator!F:F,MATCH(F203,Initial_Component_aggregator!B:B,0))))</f>
        <v xml:space="preserve"> </v>
      </c>
      <c r="J203" t="str" cm="1">
        <f t="array" ref="J203">IF(F203=0," ",IF(ISBLANK(INDEX(Initial_Component_aggregator!H:H,MATCH(F203,Initial_Component_aggregator!B:B,0))),F203,INDEX(Initial_Component_aggregator!H:H,MATCH(F203,Initial_Component_aggregator!B:B,0))))</f>
        <v xml:space="preserve"> </v>
      </c>
      <c r="K203" t="str" cm="1">
        <f t="array" ref="K203">IF(F203=0," ",IF(ISBLANK(INDEX(Initial_Component_aggregator!H:H,MATCH(F203,Initial_Component_aggregator!B:B))),D203,INDEX(Initial_Component_aggregator!I:I,MATCH(J203,Initial_Component_aggregator!H:H))))</f>
        <v xml:space="preserve"> </v>
      </c>
      <c r="L203" t="str" cm="1">
        <f t="array" ref="L203">IF(F203=0," ",IF(ISBLANK(INDEX(Initial_Component_aggregator!H:H,MATCH(F203,Initial_Component_aggregator!B:B))),E203,INDEX(Initial_Component_aggregator!J:J,MATCH(J203,Initial_Component_aggregator!H:H))))</f>
        <v xml:space="preserve"> </v>
      </c>
      <c r="M203" t="str" cm="1">
        <f t="array" ref="M203">IF(F203=0," ",IF(ISBLANK(INDEX(Initial_Component_aggregator!H:H,MATCH(F203,Initial_Component_aggregator!B:B))),F203,INDEX(Initial_Component_aggregator!K:K,MATCH(J203,Initial_Component_aggregator!H:H))))</f>
        <v xml:space="preserve"> </v>
      </c>
    </row>
    <row r="204" spans="1:13" ht="36" customHeight="1">
      <c r="A204"/>
      <c r="B204"/>
      <c r="C204"/>
      <c r="D204"/>
      <c r="E204"/>
      <c r="F204"/>
      <c r="G204"/>
      <c r="H204" t="str">
        <f t="shared" si="3"/>
        <v xml:space="preserve"> </v>
      </c>
      <c r="I204" t="str" cm="1">
        <f t="array" ref="I204">IF(F204=0," ",IF(ISBLANK(INDEX(Initial_Component_aggregator!F:F,MATCH(F204,Initial_Component_aggregator!B:B,0))),"No change",INDEX(Initial_Component_aggregator!F:F,MATCH(F204,Initial_Component_aggregator!B:B,0))))</f>
        <v xml:space="preserve"> </v>
      </c>
      <c r="J204" t="str" cm="1">
        <f t="array" ref="J204">IF(F204=0," ",IF(ISBLANK(INDEX(Initial_Component_aggregator!H:H,MATCH(F204,Initial_Component_aggregator!B:B,0))),F204,INDEX(Initial_Component_aggregator!H:H,MATCH(F204,Initial_Component_aggregator!B:B,0))))</f>
        <v xml:space="preserve"> </v>
      </c>
      <c r="K204" t="str" cm="1">
        <f t="array" ref="K204">IF(F204=0," ",IF(ISBLANK(INDEX(Initial_Component_aggregator!H:H,MATCH(F204,Initial_Component_aggregator!B:B))),D204,INDEX(Initial_Component_aggregator!I:I,MATCH(J204,Initial_Component_aggregator!H:H))))</f>
        <v xml:space="preserve"> </v>
      </c>
      <c r="L204" t="str" cm="1">
        <f t="array" ref="L204">IF(F204=0," ",IF(ISBLANK(INDEX(Initial_Component_aggregator!H:H,MATCH(F204,Initial_Component_aggregator!B:B))),E204,INDEX(Initial_Component_aggregator!J:J,MATCH(J204,Initial_Component_aggregator!H:H))))</f>
        <v xml:space="preserve"> </v>
      </c>
      <c r="M204" t="str" cm="1">
        <f t="array" ref="M204">IF(F204=0," ",IF(ISBLANK(INDEX(Initial_Component_aggregator!H:H,MATCH(F204,Initial_Component_aggregator!B:B))),F204,INDEX(Initial_Component_aggregator!K:K,MATCH(J204,Initial_Component_aggregator!H:H))))</f>
        <v xml:space="preserve"> </v>
      </c>
    </row>
    <row r="205" spans="1:13" ht="36" customHeight="1">
      <c r="A205"/>
      <c r="B205"/>
      <c r="C205"/>
      <c r="D205"/>
      <c r="E205"/>
      <c r="F205"/>
      <c r="G205"/>
      <c r="H205" t="str">
        <f t="shared" si="3"/>
        <v xml:space="preserve"> </v>
      </c>
      <c r="I205" t="str" cm="1">
        <f t="array" ref="I205">IF(F205=0," ",IF(ISBLANK(INDEX(Initial_Component_aggregator!F:F,MATCH(F205,Initial_Component_aggregator!B:B,0))),"No change",INDEX(Initial_Component_aggregator!F:F,MATCH(F205,Initial_Component_aggregator!B:B,0))))</f>
        <v xml:space="preserve"> </v>
      </c>
      <c r="J205" t="str" cm="1">
        <f t="array" ref="J205">IF(F205=0," ",IF(ISBLANK(INDEX(Initial_Component_aggregator!H:H,MATCH(F205,Initial_Component_aggregator!B:B,0))),F205,INDEX(Initial_Component_aggregator!H:H,MATCH(F205,Initial_Component_aggregator!B:B,0))))</f>
        <v xml:space="preserve"> </v>
      </c>
      <c r="K205" t="str" cm="1">
        <f t="array" ref="K205">IF(F205=0," ",IF(ISBLANK(INDEX(Initial_Component_aggregator!H:H,MATCH(F205,Initial_Component_aggregator!B:B))),D205,INDEX(Initial_Component_aggregator!I:I,MATCH(J205,Initial_Component_aggregator!H:H))))</f>
        <v xml:space="preserve"> </v>
      </c>
      <c r="L205" t="str" cm="1">
        <f t="array" ref="L205">IF(F205=0," ",IF(ISBLANK(INDEX(Initial_Component_aggregator!H:H,MATCH(F205,Initial_Component_aggregator!B:B))),E205,INDEX(Initial_Component_aggregator!J:J,MATCH(J205,Initial_Component_aggregator!H:H))))</f>
        <v xml:space="preserve"> </v>
      </c>
      <c r="M205" t="str" cm="1">
        <f t="array" ref="M205">IF(F205=0," ",IF(ISBLANK(INDEX(Initial_Component_aggregator!H:H,MATCH(F205,Initial_Component_aggregator!B:B))),F205,INDEX(Initial_Component_aggregator!K:K,MATCH(J205,Initial_Component_aggregator!H:H))))</f>
        <v xml:space="preserve"> </v>
      </c>
    </row>
    <row r="206" spans="1:13" ht="36" customHeight="1">
      <c r="A206"/>
      <c r="B206"/>
      <c r="C206"/>
      <c r="D206"/>
      <c r="E206"/>
      <c r="F206"/>
      <c r="G206"/>
      <c r="H206" t="str">
        <f t="shared" si="3"/>
        <v xml:space="preserve"> </v>
      </c>
      <c r="I206" t="str" cm="1">
        <f t="array" ref="I206">IF(F206=0," ",IF(ISBLANK(INDEX(Initial_Component_aggregator!F:F,MATCH(F206,Initial_Component_aggregator!B:B,0))),"No change",INDEX(Initial_Component_aggregator!F:F,MATCH(F206,Initial_Component_aggregator!B:B,0))))</f>
        <v xml:space="preserve"> </v>
      </c>
      <c r="J206" t="str" cm="1">
        <f t="array" ref="J206">IF(F206=0," ",IF(ISBLANK(INDEX(Initial_Component_aggregator!H:H,MATCH(F206,Initial_Component_aggregator!B:B,0))),F206,INDEX(Initial_Component_aggregator!H:H,MATCH(F206,Initial_Component_aggregator!B:B,0))))</f>
        <v xml:space="preserve"> </v>
      </c>
      <c r="K206" t="str" cm="1">
        <f t="array" ref="K206">IF(F206=0," ",IF(ISBLANK(INDEX(Initial_Component_aggregator!H:H,MATCH(F206,Initial_Component_aggregator!B:B))),D206,INDEX(Initial_Component_aggregator!I:I,MATCH(J206,Initial_Component_aggregator!H:H))))</f>
        <v xml:space="preserve"> </v>
      </c>
      <c r="L206" t="str" cm="1">
        <f t="array" ref="L206">IF(F206=0," ",IF(ISBLANK(INDEX(Initial_Component_aggregator!H:H,MATCH(F206,Initial_Component_aggregator!B:B))),E206,INDEX(Initial_Component_aggregator!J:J,MATCH(J206,Initial_Component_aggregator!H:H))))</f>
        <v xml:space="preserve"> </v>
      </c>
      <c r="M206" t="str" cm="1">
        <f t="array" ref="M206">IF(F206=0," ",IF(ISBLANK(INDEX(Initial_Component_aggregator!H:H,MATCH(F206,Initial_Component_aggregator!B:B))),F206,INDEX(Initial_Component_aggregator!K:K,MATCH(J206,Initial_Component_aggregator!H:H))))</f>
        <v xml:space="preserve"> </v>
      </c>
    </row>
    <row r="207" spans="1:13" ht="36" customHeight="1">
      <c r="A207"/>
      <c r="B207"/>
      <c r="C207"/>
      <c r="D207"/>
      <c r="E207"/>
      <c r="F207"/>
      <c r="G207"/>
      <c r="H207" t="str">
        <f t="shared" si="3"/>
        <v xml:space="preserve"> </v>
      </c>
      <c r="I207" t="str" cm="1">
        <f t="array" ref="I207">IF(F207=0," ",IF(ISBLANK(INDEX(Initial_Component_aggregator!F:F,MATCH(F207,Initial_Component_aggregator!B:B,0))),"No change",INDEX(Initial_Component_aggregator!F:F,MATCH(F207,Initial_Component_aggregator!B:B,0))))</f>
        <v xml:space="preserve"> </v>
      </c>
      <c r="J207" t="str" cm="1">
        <f t="array" ref="J207">IF(F207=0," ",IF(ISBLANK(INDEX(Initial_Component_aggregator!H:H,MATCH(F207,Initial_Component_aggregator!B:B,0))),F207,INDEX(Initial_Component_aggregator!H:H,MATCH(F207,Initial_Component_aggregator!B:B,0))))</f>
        <v xml:space="preserve"> </v>
      </c>
      <c r="K207" t="str" cm="1">
        <f t="array" ref="K207">IF(F207=0," ",IF(ISBLANK(INDEX(Initial_Component_aggregator!H:H,MATCH(F207,Initial_Component_aggregator!B:B))),D207,INDEX(Initial_Component_aggregator!I:I,MATCH(J207,Initial_Component_aggregator!H:H))))</f>
        <v xml:space="preserve"> </v>
      </c>
      <c r="L207" t="str" cm="1">
        <f t="array" ref="L207">IF(F207=0," ",IF(ISBLANK(INDEX(Initial_Component_aggregator!H:H,MATCH(F207,Initial_Component_aggregator!B:B))),E207,INDEX(Initial_Component_aggregator!J:J,MATCH(J207,Initial_Component_aggregator!H:H))))</f>
        <v xml:space="preserve"> </v>
      </c>
      <c r="M207" t="str" cm="1">
        <f t="array" ref="M207">IF(F207=0," ",IF(ISBLANK(INDEX(Initial_Component_aggregator!H:H,MATCH(F207,Initial_Component_aggregator!B:B))),F207,INDEX(Initial_Component_aggregator!K:K,MATCH(J207,Initial_Component_aggregator!H:H))))</f>
        <v xml:space="preserve"> </v>
      </c>
    </row>
    <row r="208" spans="1:13" ht="36" customHeight="1">
      <c r="A208"/>
      <c r="B208"/>
      <c r="C208"/>
      <c r="D208"/>
      <c r="E208"/>
      <c r="F208"/>
      <c r="G208"/>
      <c r="H208" t="str">
        <f t="shared" si="3"/>
        <v xml:space="preserve"> </v>
      </c>
      <c r="I208" t="str" cm="1">
        <f t="array" ref="I208">IF(F208=0," ",IF(ISBLANK(INDEX(Initial_Component_aggregator!F:F,MATCH(F208,Initial_Component_aggregator!B:B,0))),"No change",INDEX(Initial_Component_aggregator!F:F,MATCH(F208,Initial_Component_aggregator!B:B,0))))</f>
        <v xml:space="preserve"> </v>
      </c>
      <c r="J208" t="str" cm="1">
        <f t="array" ref="J208">IF(F208=0," ",IF(ISBLANK(INDEX(Initial_Component_aggregator!H:H,MATCH(F208,Initial_Component_aggregator!B:B,0))),F208,INDEX(Initial_Component_aggregator!H:H,MATCH(F208,Initial_Component_aggregator!B:B,0))))</f>
        <v xml:space="preserve"> </v>
      </c>
      <c r="K208" t="str" cm="1">
        <f t="array" ref="K208">IF(F208=0," ",IF(ISBLANK(INDEX(Initial_Component_aggregator!H:H,MATCH(F208,Initial_Component_aggregator!B:B))),D208,INDEX(Initial_Component_aggregator!I:I,MATCH(J208,Initial_Component_aggregator!H:H))))</f>
        <v xml:space="preserve"> </v>
      </c>
      <c r="L208" t="str" cm="1">
        <f t="array" ref="L208">IF(F208=0," ",IF(ISBLANK(INDEX(Initial_Component_aggregator!H:H,MATCH(F208,Initial_Component_aggregator!B:B))),E208,INDEX(Initial_Component_aggregator!J:J,MATCH(J208,Initial_Component_aggregator!H:H))))</f>
        <v xml:space="preserve"> </v>
      </c>
      <c r="M208" t="str" cm="1">
        <f t="array" ref="M208">IF(F208=0," ",IF(ISBLANK(INDEX(Initial_Component_aggregator!H:H,MATCH(F208,Initial_Component_aggregator!B:B))),F208,INDEX(Initial_Component_aggregator!K:K,MATCH(J208,Initial_Component_aggregator!H:H))))</f>
        <v xml:space="preserve"> </v>
      </c>
    </row>
    <row r="209" spans="1:13" ht="36" customHeight="1">
      <c r="A209"/>
      <c r="B209"/>
      <c r="C209"/>
      <c r="D209"/>
      <c r="E209"/>
      <c r="F209"/>
      <c r="G209"/>
      <c r="H209" t="str">
        <f t="shared" si="3"/>
        <v xml:space="preserve"> </v>
      </c>
      <c r="I209" t="str" cm="1">
        <f t="array" ref="I209">IF(F209=0," ",IF(ISBLANK(INDEX(Initial_Component_aggregator!F:F,MATCH(F209,Initial_Component_aggregator!B:B,0))),"No change",INDEX(Initial_Component_aggregator!F:F,MATCH(F209,Initial_Component_aggregator!B:B,0))))</f>
        <v xml:space="preserve"> </v>
      </c>
      <c r="J209" t="str" cm="1">
        <f t="array" ref="J209">IF(F209=0," ",IF(ISBLANK(INDEX(Initial_Component_aggregator!H:H,MATCH(F209,Initial_Component_aggregator!B:B,0))),F209,INDEX(Initial_Component_aggregator!H:H,MATCH(F209,Initial_Component_aggregator!B:B,0))))</f>
        <v xml:space="preserve"> </v>
      </c>
      <c r="K209" t="str" cm="1">
        <f t="array" ref="K209">IF(F209=0," ",IF(ISBLANK(INDEX(Initial_Component_aggregator!H:H,MATCH(F209,Initial_Component_aggregator!B:B))),D209,INDEX(Initial_Component_aggregator!I:I,MATCH(J209,Initial_Component_aggregator!H:H))))</f>
        <v xml:space="preserve"> </v>
      </c>
      <c r="L209" t="str" cm="1">
        <f t="array" ref="L209">IF(F209=0," ",IF(ISBLANK(INDEX(Initial_Component_aggregator!H:H,MATCH(F209,Initial_Component_aggregator!B:B))),E209,INDEX(Initial_Component_aggregator!J:J,MATCH(J209,Initial_Component_aggregator!H:H))))</f>
        <v xml:space="preserve"> </v>
      </c>
      <c r="M209" t="str" cm="1">
        <f t="array" ref="M209">IF(F209=0," ",IF(ISBLANK(INDEX(Initial_Component_aggregator!H:H,MATCH(F209,Initial_Component_aggregator!B:B))),F209,INDEX(Initial_Component_aggregator!K:K,MATCH(J209,Initial_Component_aggregator!H:H))))</f>
        <v xml:space="preserve"> </v>
      </c>
    </row>
    <row r="210" spans="1:13" ht="36" customHeight="1">
      <c r="A210"/>
      <c r="B210"/>
      <c r="C210"/>
      <c r="D210"/>
      <c r="E210"/>
      <c r="F210"/>
      <c r="G210"/>
      <c r="H210" t="str">
        <f t="shared" si="3"/>
        <v xml:space="preserve"> </v>
      </c>
      <c r="I210" t="str" cm="1">
        <f t="array" ref="I210">IF(F210=0," ",IF(ISBLANK(INDEX(Initial_Component_aggregator!F:F,MATCH(F210,Initial_Component_aggregator!B:B,0))),"No change",INDEX(Initial_Component_aggregator!F:F,MATCH(F210,Initial_Component_aggregator!B:B,0))))</f>
        <v xml:space="preserve"> </v>
      </c>
      <c r="J210" t="str" cm="1">
        <f t="array" ref="J210">IF(F210=0," ",IF(ISBLANK(INDEX(Initial_Component_aggregator!H:H,MATCH(F210,Initial_Component_aggregator!B:B,0))),F210,INDEX(Initial_Component_aggregator!H:H,MATCH(F210,Initial_Component_aggregator!B:B,0))))</f>
        <v xml:space="preserve"> </v>
      </c>
      <c r="K210" t="str" cm="1">
        <f t="array" ref="K210">IF(F210=0," ",IF(ISBLANK(INDEX(Initial_Component_aggregator!H:H,MATCH(F210,Initial_Component_aggregator!B:B))),D210,INDEX(Initial_Component_aggregator!I:I,MATCH(J210,Initial_Component_aggregator!H:H))))</f>
        <v xml:space="preserve"> </v>
      </c>
      <c r="L210" t="str" cm="1">
        <f t="array" ref="L210">IF(F210=0," ",IF(ISBLANK(INDEX(Initial_Component_aggregator!H:H,MATCH(F210,Initial_Component_aggregator!B:B))),E210,INDEX(Initial_Component_aggregator!J:J,MATCH(J210,Initial_Component_aggregator!H:H))))</f>
        <v xml:space="preserve"> </v>
      </c>
      <c r="M210" t="str" cm="1">
        <f t="array" ref="M210">IF(F210=0," ",IF(ISBLANK(INDEX(Initial_Component_aggregator!H:H,MATCH(F210,Initial_Component_aggregator!B:B))),F210,INDEX(Initial_Component_aggregator!K:K,MATCH(J210,Initial_Component_aggregator!H:H))))</f>
        <v xml:space="preserve"> </v>
      </c>
    </row>
    <row r="211" spans="1:13" ht="36" customHeight="1">
      <c r="A211"/>
      <c r="B211"/>
      <c r="C211"/>
      <c r="D211"/>
      <c r="E211"/>
      <c r="F211"/>
      <c r="G211"/>
      <c r="H211" t="str">
        <f t="shared" si="3"/>
        <v xml:space="preserve"> </v>
      </c>
      <c r="I211" t="str" cm="1">
        <f t="array" ref="I211">IF(F211=0," ",IF(ISBLANK(INDEX(Initial_Component_aggregator!F:F,MATCH(F211,Initial_Component_aggregator!B:B,0))),"No change",INDEX(Initial_Component_aggregator!F:F,MATCH(F211,Initial_Component_aggregator!B:B,0))))</f>
        <v xml:space="preserve"> </v>
      </c>
      <c r="J211" t="str" cm="1">
        <f t="array" ref="J211">IF(F211=0," ",IF(ISBLANK(INDEX(Initial_Component_aggregator!H:H,MATCH(F211,Initial_Component_aggregator!B:B,0))),F211,INDEX(Initial_Component_aggregator!H:H,MATCH(F211,Initial_Component_aggregator!B:B,0))))</f>
        <v xml:space="preserve"> </v>
      </c>
      <c r="K211" t="str" cm="1">
        <f t="array" ref="K211">IF(F211=0," ",IF(ISBLANK(INDEX(Initial_Component_aggregator!H:H,MATCH(F211,Initial_Component_aggregator!B:B))),D211,INDEX(Initial_Component_aggregator!I:I,MATCH(J211,Initial_Component_aggregator!H:H))))</f>
        <v xml:space="preserve"> </v>
      </c>
      <c r="L211" t="str" cm="1">
        <f t="array" ref="L211">IF(F211=0," ",IF(ISBLANK(INDEX(Initial_Component_aggregator!H:H,MATCH(F211,Initial_Component_aggregator!B:B))),E211,INDEX(Initial_Component_aggregator!J:J,MATCH(J211,Initial_Component_aggregator!H:H))))</f>
        <v xml:space="preserve"> </v>
      </c>
      <c r="M211" t="str" cm="1">
        <f t="array" ref="M211">IF(F211=0," ",IF(ISBLANK(INDEX(Initial_Component_aggregator!H:H,MATCH(F211,Initial_Component_aggregator!B:B))),F211,INDEX(Initial_Component_aggregator!K:K,MATCH(J211,Initial_Component_aggregator!H:H))))</f>
        <v xml:space="preserve"> </v>
      </c>
    </row>
    <row r="212" spans="1:13" ht="36" customHeight="1">
      <c r="A212"/>
      <c r="B212"/>
      <c r="C212"/>
      <c r="D212"/>
      <c r="E212"/>
      <c r="F212"/>
      <c r="G212"/>
      <c r="H212" t="str">
        <f t="shared" si="3"/>
        <v xml:space="preserve"> </v>
      </c>
      <c r="I212" t="str" cm="1">
        <f t="array" ref="I212">IF(F212=0," ",IF(ISBLANK(INDEX(Initial_Component_aggregator!F:F,MATCH(F212,Initial_Component_aggregator!B:B,0))),"No change",INDEX(Initial_Component_aggregator!F:F,MATCH(F212,Initial_Component_aggregator!B:B,0))))</f>
        <v xml:space="preserve"> </v>
      </c>
      <c r="J212" t="str" cm="1">
        <f t="array" ref="J212">IF(F212=0," ",IF(ISBLANK(INDEX(Initial_Component_aggregator!H:H,MATCH(F212,Initial_Component_aggregator!B:B,0))),F212,INDEX(Initial_Component_aggregator!H:H,MATCH(F212,Initial_Component_aggregator!B:B,0))))</f>
        <v xml:space="preserve"> </v>
      </c>
      <c r="K212" t="str" cm="1">
        <f t="array" ref="K212">IF(F212=0," ",IF(ISBLANK(INDEX(Initial_Component_aggregator!H:H,MATCH(F212,Initial_Component_aggregator!B:B))),D212,INDEX(Initial_Component_aggregator!I:I,MATCH(J212,Initial_Component_aggregator!H:H))))</f>
        <v xml:space="preserve"> </v>
      </c>
      <c r="L212" t="str" cm="1">
        <f t="array" ref="L212">IF(F212=0," ",IF(ISBLANK(INDEX(Initial_Component_aggregator!H:H,MATCH(F212,Initial_Component_aggregator!B:B))),E212,INDEX(Initial_Component_aggregator!J:J,MATCH(J212,Initial_Component_aggregator!H:H))))</f>
        <v xml:space="preserve"> </v>
      </c>
      <c r="M212" t="str" cm="1">
        <f t="array" ref="M212">IF(F212=0," ",IF(ISBLANK(INDEX(Initial_Component_aggregator!H:H,MATCH(F212,Initial_Component_aggregator!B:B))),F212,INDEX(Initial_Component_aggregator!K:K,MATCH(J212,Initial_Component_aggregator!H:H))))</f>
        <v xml:space="preserve"> </v>
      </c>
    </row>
    <row r="213" spans="1:13" ht="36" customHeight="1">
      <c r="A213"/>
      <c r="B213"/>
      <c r="C213"/>
      <c r="D213"/>
      <c r="E213"/>
      <c r="F213"/>
      <c r="G213"/>
      <c r="H213" t="str">
        <f t="shared" si="3"/>
        <v xml:space="preserve"> </v>
      </c>
      <c r="I213" t="str" cm="1">
        <f t="array" ref="I213">IF(F213=0," ",IF(ISBLANK(INDEX(Initial_Component_aggregator!F:F,MATCH(F213,Initial_Component_aggregator!B:B,0))),"No change",INDEX(Initial_Component_aggregator!F:F,MATCH(F213,Initial_Component_aggregator!B:B,0))))</f>
        <v xml:space="preserve"> </v>
      </c>
      <c r="J213" t="str" cm="1">
        <f t="array" ref="J213">IF(F213=0," ",IF(ISBLANK(INDEX(Initial_Component_aggregator!H:H,MATCH(F213,Initial_Component_aggregator!B:B,0))),F213,INDEX(Initial_Component_aggregator!H:H,MATCH(F213,Initial_Component_aggregator!B:B,0))))</f>
        <v xml:space="preserve"> </v>
      </c>
      <c r="K213" t="str" cm="1">
        <f t="array" ref="K213">IF(F213=0," ",IF(ISBLANK(INDEX(Initial_Component_aggregator!H:H,MATCH(F213,Initial_Component_aggregator!B:B))),D213,INDEX(Initial_Component_aggregator!I:I,MATCH(J213,Initial_Component_aggregator!H:H))))</f>
        <v xml:space="preserve"> </v>
      </c>
      <c r="L213" t="str" cm="1">
        <f t="array" ref="L213">IF(F213=0," ",IF(ISBLANK(INDEX(Initial_Component_aggregator!H:H,MATCH(F213,Initial_Component_aggregator!B:B))),E213,INDEX(Initial_Component_aggregator!J:J,MATCH(J213,Initial_Component_aggregator!H:H))))</f>
        <v xml:space="preserve"> </v>
      </c>
      <c r="M213" t="str" cm="1">
        <f t="array" ref="M213">IF(F213=0," ",IF(ISBLANK(INDEX(Initial_Component_aggregator!H:H,MATCH(F213,Initial_Component_aggregator!B:B))),F213,INDEX(Initial_Component_aggregator!K:K,MATCH(J213,Initial_Component_aggregator!H:H))))</f>
        <v xml:space="preserve"> </v>
      </c>
    </row>
    <row r="214" spans="1:13" ht="36" customHeight="1">
      <c r="A214"/>
      <c r="B214"/>
      <c r="C214"/>
      <c r="D214"/>
      <c r="E214"/>
      <c r="F214"/>
      <c r="G214"/>
      <c r="H214" t="str">
        <f t="shared" si="3"/>
        <v xml:space="preserve"> </v>
      </c>
      <c r="I214" t="str" cm="1">
        <f t="array" ref="I214">IF(F214=0," ",IF(ISBLANK(INDEX(Initial_Component_aggregator!F:F,MATCH(F214,Initial_Component_aggregator!B:B,0))),"No change",INDEX(Initial_Component_aggregator!F:F,MATCH(F214,Initial_Component_aggregator!B:B,0))))</f>
        <v xml:space="preserve"> </v>
      </c>
      <c r="J214" t="str" cm="1">
        <f t="array" ref="J214">IF(F214=0," ",IF(ISBLANK(INDEX(Initial_Component_aggregator!H:H,MATCH(F214,Initial_Component_aggregator!B:B,0))),F214,INDEX(Initial_Component_aggregator!H:H,MATCH(F214,Initial_Component_aggregator!B:B,0))))</f>
        <v xml:space="preserve"> </v>
      </c>
      <c r="K214" t="str" cm="1">
        <f t="array" ref="K214">IF(F214=0," ",IF(ISBLANK(INDEX(Initial_Component_aggregator!H:H,MATCH(F214,Initial_Component_aggregator!B:B))),D214,INDEX(Initial_Component_aggregator!I:I,MATCH(J214,Initial_Component_aggregator!H:H))))</f>
        <v xml:space="preserve"> </v>
      </c>
      <c r="L214" t="str" cm="1">
        <f t="array" ref="L214">IF(F214=0," ",IF(ISBLANK(INDEX(Initial_Component_aggregator!H:H,MATCH(F214,Initial_Component_aggregator!B:B))),E214,INDEX(Initial_Component_aggregator!J:J,MATCH(J214,Initial_Component_aggregator!H:H))))</f>
        <v xml:space="preserve"> </v>
      </c>
      <c r="M214" t="str" cm="1">
        <f t="array" ref="M214">IF(F214=0," ",IF(ISBLANK(INDEX(Initial_Component_aggregator!H:H,MATCH(F214,Initial_Component_aggregator!B:B))),F214,INDEX(Initial_Component_aggregator!K:K,MATCH(J214,Initial_Component_aggregator!H:H))))</f>
        <v xml:space="preserve"> </v>
      </c>
    </row>
    <row r="215" spans="1:13" ht="36" customHeight="1">
      <c r="A215"/>
      <c r="B215"/>
      <c r="C215"/>
      <c r="D215"/>
      <c r="E215"/>
      <c r="F215"/>
      <c r="G215"/>
      <c r="H215" t="str">
        <f t="shared" si="3"/>
        <v xml:space="preserve"> </v>
      </c>
      <c r="I215" t="str" cm="1">
        <f t="array" ref="I215">IF(F215=0," ",IF(ISBLANK(INDEX(Initial_Component_aggregator!F:F,MATCH(F215,Initial_Component_aggregator!B:B,0))),"No change",INDEX(Initial_Component_aggregator!F:F,MATCH(F215,Initial_Component_aggregator!B:B,0))))</f>
        <v xml:space="preserve"> </v>
      </c>
      <c r="J215" t="str" cm="1">
        <f t="array" ref="J215">IF(F215=0," ",IF(ISBLANK(INDEX(Initial_Component_aggregator!H:H,MATCH(F215,Initial_Component_aggregator!B:B,0))),F215,INDEX(Initial_Component_aggregator!H:H,MATCH(F215,Initial_Component_aggregator!B:B,0))))</f>
        <v xml:space="preserve"> </v>
      </c>
      <c r="K215" t="str" cm="1">
        <f t="array" ref="K215">IF(F215=0," ",IF(ISBLANK(INDEX(Initial_Component_aggregator!H:H,MATCH(F215,Initial_Component_aggregator!B:B))),D215,INDEX(Initial_Component_aggregator!I:I,MATCH(J215,Initial_Component_aggregator!H:H))))</f>
        <v xml:space="preserve"> </v>
      </c>
      <c r="L215" t="str" cm="1">
        <f t="array" ref="L215">IF(F215=0," ",IF(ISBLANK(INDEX(Initial_Component_aggregator!H:H,MATCH(F215,Initial_Component_aggregator!B:B))),E215,INDEX(Initial_Component_aggregator!J:J,MATCH(J215,Initial_Component_aggregator!H:H))))</f>
        <v xml:space="preserve"> </v>
      </c>
      <c r="M215" t="str" cm="1">
        <f t="array" ref="M215">IF(F215=0," ",IF(ISBLANK(INDEX(Initial_Component_aggregator!H:H,MATCH(F215,Initial_Component_aggregator!B:B))),F215,INDEX(Initial_Component_aggregator!K:K,MATCH(J215,Initial_Component_aggregator!H:H))))</f>
        <v xml:space="preserve"> </v>
      </c>
    </row>
    <row r="216" spans="1:13" ht="36" customHeight="1">
      <c r="A216"/>
      <c r="B216"/>
      <c r="C216"/>
      <c r="D216"/>
      <c r="E216"/>
      <c r="F216"/>
      <c r="G216"/>
      <c r="H216" t="str">
        <f t="shared" si="3"/>
        <v xml:space="preserve"> </v>
      </c>
      <c r="I216" t="str" cm="1">
        <f t="array" ref="I216">IF(F216=0," ",IF(ISBLANK(INDEX(Initial_Component_aggregator!F:F,MATCH(F216,Initial_Component_aggregator!B:B,0))),"No change",INDEX(Initial_Component_aggregator!F:F,MATCH(F216,Initial_Component_aggregator!B:B,0))))</f>
        <v xml:space="preserve"> </v>
      </c>
      <c r="J216" t="str" cm="1">
        <f t="array" ref="J216">IF(F216=0," ",IF(ISBLANK(INDEX(Initial_Component_aggregator!H:H,MATCH(F216,Initial_Component_aggregator!B:B,0))),F216,INDEX(Initial_Component_aggregator!H:H,MATCH(F216,Initial_Component_aggregator!B:B,0))))</f>
        <v xml:space="preserve"> </v>
      </c>
      <c r="K216" t="str" cm="1">
        <f t="array" ref="K216">IF(F216=0," ",IF(ISBLANK(INDEX(Initial_Component_aggregator!H:H,MATCH(F216,Initial_Component_aggregator!B:B))),D216,INDEX(Initial_Component_aggregator!I:I,MATCH(J216,Initial_Component_aggregator!H:H))))</f>
        <v xml:space="preserve"> </v>
      </c>
      <c r="L216" t="str" cm="1">
        <f t="array" ref="L216">IF(F216=0," ",IF(ISBLANK(INDEX(Initial_Component_aggregator!H:H,MATCH(F216,Initial_Component_aggregator!B:B))),E216,INDEX(Initial_Component_aggregator!J:J,MATCH(J216,Initial_Component_aggregator!H:H))))</f>
        <v xml:space="preserve"> </v>
      </c>
      <c r="M216" t="str" cm="1">
        <f t="array" ref="M216">IF(F216=0," ",IF(ISBLANK(INDEX(Initial_Component_aggregator!H:H,MATCH(F216,Initial_Component_aggregator!B:B))),F216,INDEX(Initial_Component_aggregator!K:K,MATCH(J216,Initial_Component_aggregator!H:H))))</f>
        <v xml:space="preserve"> </v>
      </c>
    </row>
    <row r="217" spans="1:13" ht="36" customHeight="1">
      <c r="A217"/>
      <c r="B217"/>
      <c r="C217"/>
      <c r="D217"/>
      <c r="E217"/>
      <c r="F217"/>
      <c r="G217"/>
      <c r="H217" t="str">
        <f t="shared" si="3"/>
        <v xml:space="preserve"> </v>
      </c>
      <c r="I217" t="str" cm="1">
        <f t="array" ref="I217">IF(F217=0," ",IF(ISBLANK(INDEX(Initial_Component_aggregator!F:F,MATCH(F217,Initial_Component_aggregator!B:B,0))),"No change",INDEX(Initial_Component_aggregator!F:F,MATCH(F217,Initial_Component_aggregator!B:B,0))))</f>
        <v xml:space="preserve"> </v>
      </c>
      <c r="J217" t="str" cm="1">
        <f t="array" ref="J217">IF(F217=0," ",IF(ISBLANK(INDEX(Initial_Component_aggregator!H:H,MATCH(F217,Initial_Component_aggregator!B:B,0))),F217,INDEX(Initial_Component_aggregator!H:H,MATCH(F217,Initial_Component_aggregator!B:B,0))))</f>
        <v xml:space="preserve"> </v>
      </c>
      <c r="K217" t="str" cm="1">
        <f t="array" ref="K217">IF(F217=0," ",IF(ISBLANK(INDEX(Initial_Component_aggregator!H:H,MATCH(F217,Initial_Component_aggregator!B:B))),D217,INDEX(Initial_Component_aggregator!I:I,MATCH(J217,Initial_Component_aggregator!H:H))))</f>
        <v xml:space="preserve"> </v>
      </c>
      <c r="L217" t="str" cm="1">
        <f t="array" ref="L217">IF(F217=0," ",IF(ISBLANK(INDEX(Initial_Component_aggregator!H:H,MATCH(F217,Initial_Component_aggregator!B:B))),E217,INDEX(Initial_Component_aggregator!J:J,MATCH(J217,Initial_Component_aggregator!H:H))))</f>
        <v xml:space="preserve"> </v>
      </c>
      <c r="M217" t="str" cm="1">
        <f t="array" ref="M217">IF(F217=0," ",IF(ISBLANK(INDEX(Initial_Component_aggregator!H:H,MATCH(F217,Initial_Component_aggregator!B:B))),F217,INDEX(Initial_Component_aggregator!K:K,MATCH(J217,Initial_Component_aggregator!H:H))))</f>
        <v xml:space="preserve"> </v>
      </c>
    </row>
    <row r="218" spans="1:13" ht="36" customHeight="1">
      <c r="A218"/>
      <c r="B218"/>
      <c r="C218"/>
      <c r="D218"/>
      <c r="E218"/>
      <c r="F218"/>
      <c r="G218"/>
      <c r="H218" t="str">
        <f t="shared" si="3"/>
        <v xml:space="preserve"> </v>
      </c>
      <c r="I218" t="str" cm="1">
        <f t="array" ref="I218">IF(F218=0," ",IF(ISBLANK(INDEX(Initial_Component_aggregator!F:F,MATCH(F218,Initial_Component_aggregator!B:B,0))),"No change",INDEX(Initial_Component_aggregator!F:F,MATCH(F218,Initial_Component_aggregator!B:B,0))))</f>
        <v xml:space="preserve"> </v>
      </c>
      <c r="J218" t="str" cm="1">
        <f t="array" ref="J218">IF(F218=0," ",IF(ISBLANK(INDEX(Initial_Component_aggregator!H:H,MATCH(F218,Initial_Component_aggregator!B:B,0))),F218,INDEX(Initial_Component_aggregator!H:H,MATCH(F218,Initial_Component_aggregator!B:B,0))))</f>
        <v xml:space="preserve"> </v>
      </c>
      <c r="K218" t="str" cm="1">
        <f t="array" ref="K218">IF(F218=0," ",IF(ISBLANK(INDEX(Initial_Component_aggregator!H:H,MATCH(F218,Initial_Component_aggregator!B:B))),D218,INDEX(Initial_Component_aggregator!I:I,MATCH(J218,Initial_Component_aggregator!H:H))))</f>
        <v xml:space="preserve"> </v>
      </c>
      <c r="L218" t="str" cm="1">
        <f t="array" ref="L218">IF(F218=0," ",IF(ISBLANK(INDEX(Initial_Component_aggregator!H:H,MATCH(F218,Initial_Component_aggregator!B:B))),E218,INDEX(Initial_Component_aggregator!J:J,MATCH(J218,Initial_Component_aggregator!H:H))))</f>
        <v xml:space="preserve"> </v>
      </c>
      <c r="M218" t="str" cm="1">
        <f t="array" ref="M218">IF(F218=0," ",IF(ISBLANK(INDEX(Initial_Component_aggregator!H:H,MATCH(F218,Initial_Component_aggregator!B:B))),F218,INDEX(Initial_Component_aggregator!K:K,MATCH(J218,Initial_Component_aggregator!H:H))))</f>
        <v xml:space="preserve"> </v>
      </c>
    </row>
    <row r="219" spans="1:13" ht="36" customHeight="1">
      <c r="A219"/>
      <c r="B219"/>
      <c r="C219"/>
      <c r="D219"/>
      <c r="E219"/>
      <c r="F219"/>
      <c r="G219"/>
      <c r="H219" t="str">
        <f t="shared" si="3"/>
        <v xml:space="preserve"> </v>
      </c>
      <c r="I219" t="str" cm="1">
        <f t="array" ref="I219">IF(F219=0," ",IF(ISBLANK(INDEX(Initial_Component_aggregator!F:F,MATCH(F219,Initial_Component_aggregator!B:B,0))),"No change",INDEX(Initial_Component_aggregator!F:F,MATCH(F219,Initial_Component_aggregator!B:B,0))))</f>
        <v xml:space="preserve"> </v>
      </c>
      <c r="J219" t="str" cm="1">
        <f t="array" ref="J219">IF(F219=0," ",IF(ISBLANK(INDEX(Initial_Component_aggregator!H:H,MATCH(F219,Initial_Component_aggregator!B:B,0))),F219,INDEX(Initial_Component_aggregator!H:H,MATCH(F219,Initial_Component_aggregator!B:B,0))))</f>
        <v xml:space="preserve"> </v>
      </c>
      <c r="K219" t="str" cm="1">
        <f t="array" ref="K219">IF(F219=0," ",IF(ISBLANK(INDEX(Initial_Component_aggregator!H:H,MATCH(F219,Initial_Component_aggregator!B:B))),D219,INDEX(Initial_Component_aggregator!I:I,MATCH(J219,Initial_Component_aggregator!H:H))))</f>
        <v xml:space="preserve"> </v>
      </c>
      <c r="L219" t="str" cm="1">
        <f t="array" ref="L219">IF(F219=0," ",IF(ISBLANK(INDEX(Initial_Component_aggregator!H:H,MATCH(F219,Initial_Component_aggregator!B:B))),E219,INDEX(Initial_Component_aggregator!J:J,MATCH(J219,Initial_Component_aggregator!H:H))))</f>
        <v xml:space="preserve"> </v>
      </c>
      <c r="M219" t="str" cm="1">
        <f t="array" ref="M219">IF(F219=0," ",IF(ISBLANK(INDEX(Initial_Component_aggregator!H:H,MATCH(F219,Initial_Component_aggregator!B:B))),F219,INDEX(Initial_Component_aggregator!K:K,MATCH(J219,Initial_Component_aggregator!H:H))))</f>
        <v xml:space="preserve"> </v>
      </c>
    </row>
    <row r="220" spans="1:13" ht="36" customHeight="1">
      <c r="A220"/>
      <c r="B220"/>
      <c r="C220"/>
      <c r="D220"/>
      <c r="E220"/>
      <c r="F220"/>
      <c r="G220"/>
      <c r="H220" t="str">
        <f t="shared" si="3"/>
        <v xml:space="preserve"> </v>
      </c>
      <c r="I220" t="str" cm="1">
        <f t="array" ref="I220">IF(F220=0," ",IF(ISBLANK(INDEX(Initial_Component_aggregator!F:F,MATCH(F220,Initial_Component_aggregator!B:B,0))),"No change",INDEX(Initial_Component_aggregator!F:F,MATCH(F220,Initial_Component_aggregator!B:B,0))))</f>
        <v xml:space="preserve"> </v>
      </c>
      <c r="J220" t="str" cm="1">
        <f t="array" ref="J220">IF(F220=0," ",IF(ISBLANK(INDEX(Initial_Component_aggregator!H:H,MATCH(F220,Initial_Component_aggregator!B:B,0))),F220,INDEX(Initial_Component_aggregator!H:H,MATCH(F220,Initial_Component_aggregator!B:B,0))))</f>
        <v xml:space="preserve"> </v>
      </c>
      <c r="K220" t="str" cm="1">
        <f t="array" ref="K220">IF(F220=0," ",IF(ISBLANK(INDEX(Initial_Component_aggregator!H:H,MATCH(F220,Initial_Component_aggregator!B:B))),D220,INDEX(Initial_Component_aggregator!I:I,MATCH(J220,Initial_Component_aggregator!H:H))))</f>
        <v xml:space="preserve"> </v>
      </c>
      <c r="L220" t="str" cm="1">
        <f t="array" ref="L220">IF(F220=0," ",IF(ISBLANK(INDEX(Initial_Component_aggregator!H:H,MATCH(F220,Initial_Component_aggregator!B:B))),E220,INDEX(Initial_Component_aggregator!J:J,MATCH(J220,Initial_Component_aggregator!H:H))))</f>
        <v xml:space="preserve"> </v>
      </c>
      <c r="M220" t="str" cm="1">
        <f t="array" ref="M220">IF(F220=0," ",IF(ISBLANK(INDEX(Initial_Component_aggregator!H:H,MATCH(F220,Initial_Component_aggregator!B:B))),F220,INDEX(Initial_Component_aggregator!K:K,MATCH(J220,Initial_Component_aggregator!H:H))))</f>
        <v xml:space="preserve"> </v>
      </c>
    </row>
    <row r="221" spans="1:13" ht="36" customHeight="1">
      <c r="A221"/>
      <c r="B221"/>
      <c r="C221"/>
      <c r="D221"/>
      <c r="E221"/>
      <c r="F221"/>
      <c r="G221"/>
      <c r="H221" t="str">
        <f t="shared" si="3"/>
        <v xml:space="preserve"> </v>
      </c>
      <c r="I221" t="str" cm="1">
        <f t="array" ref="I221">IF(F221=0," ",IF(ISBLANK(INDEX(Initial_Component_aggregator!F:F,MATCH(F221,Initial_Component_aggregator!B:B,0))),"No change",INDEX(Initial_Component_aggregator!F:F,MATCH(F221,Initial_Component_aggregator!B:B,0))))</f>
        <v xml:space="preserve"> </v>
      </c>
      <c r="J221" t="str" cm="1">
        <f t="array" ref="J221">IF(F221=0," ",IF(ISBLANK(INDEX(Initial_Component_aggregator!H:H,MATCH(F221,Initial_Component_aggregator!B:B,0))),F221,INDEX(Initial_Component_aggregator!H:H,MATCH(F221,Initial_Component_aggregator!B:B,0))))</f>
        <v xml:space="preserve"> </v>
      </c>
      <c r="K221" t="str" cm="1">
        <f t="array" ref="K221">IF(F221=0," ",IF(ISBLANK(INDEX(Initial_Component_aggregator!H:H,MATCH(F221,Initial_Component_aggregator!B:B))),D221,INDEX(Initial_Component_aggregator!I:I,MATCH(J221,Initial_Component_aggregator!H:H))))</f>
        <v xml:space="preserve"> </v>
      </c>
      <c r="L221" t="str" cm="1">
        <f t="array" ref="L221">IF(F221=0," ",IF(ISBLANK(INDEX(Initial_Component_aggregator!H:H,MATCH(F221,Initial_Component_aggregator!B:B))),E221,INDEX(Initial_Component_aggregator!J:J,MATCH(J221,Initial_Component_aggregator!H:H))))</f>
        <v xml:space="preserve"> </v>
      </c>
      <c r="M221" t="str" cm="1">
        <f t="array" ref="M221">IF(F221=0," ",IF(ISBLANK(INDEX(Initial_Component_aggregator!H:H,MATCH(F221,Initial_Component_aggregator!B:B))),F221,INDEX(Initial_Component_aggregator!K:K,MATCH(J221,Initial_Component_aggregator!H:H))))</f>
        <v xml:space="preserve"> </v>
      </c>
    </row>
    <row r="222" spans="1:13" ht="36" customHeight="1">
      <c r="A222"/>
      <c r="B222"/>
      <c r="C222"/>
      <c r="D222"/>
      <c r="E222"/>
      <c r="F222"/>
      <c r="G222"/>
      <c r="H222" t="str">
        <f t="shared" si="3"/>
        <v xml:space="preserve"> </v>
      </c>
      <c r="I222" t="str" cm="1">
        <f t="array" ref="I222">IF(F222=0," ",IF(ISBLANK(INDEX(Initial_Component_aggregator!F:F,MATCH(F222,Initial_Component_aggregator!B:B,0))),"No change",INDEX(Initial_Component_aggregator!F:F,MATCH(F222,Initial_Component_aggregator!B:B,0))))</f>
        <v xml:space="preserve"> </v>
      </c>
      <c r="J222" t="str" cm="1">
        <f t="array" ref="J222">IF(F222=0," ",IF(ISBLANK(INDEX(Initial_Component_aggregator!H:H,MATCH(F222,Initial_Component_aggregator!B:B,0))),F222,INDEX(Initial_Component_aggregator!H:H,MATCH(F222,Initial_Component_aggregator!B:B,0))))</f>
        <v xml:space="preserve"> </v>
      </c>
      <c r="K222" t="str" cm="1">
        <f t="array" ref="K222">IF(F222=0," ",IF(ISBLANK(INDEX(Initial_Component_aggregator!H:H,MATCH(F222,Initial_Component_aggregator!B:B))),D222,INDEX(Initial_Component_aggregator!I:I,MATCH(J222,Initial_Component_aggregator!H:H))))</f>
        <v xml:space="preserve"> </v>
      </c>
      <c r="L222" t="str" cm="1">
        <f t="array" ref="L222">IF(F222=0," ",IF(ISBLANK(INDEX(Initial_Component_aggregator!H:H,MATCH(F222,Initial_Component_aggregator!B:B))),E222,INDEX(Initial_Component_aggregator!J:J,MATCH(J222,Initial_Component_aggregator!H:H))))</f>
        <v xml:space="preserve"> </v>
      </c>
      <c r="M222" t="str" cm="1">
        <f t="array" ref="M222">IF(F222=0," ",IF(ISBLANK(INDEX(Initial_Component_aggregator!H:H,MATCH(F222,Initial_Component_aggregator!B:B))),F222,INDEX(Initial_Component_aggregator!K:K,MATCH(J222,Initial_Component_aggregator!H:H))))</f>
        <v xml:space="preserve"> </v>
      </c>
    </row>
    <row r="223" spans="1:13" ht="36" customHeight="1">
      <c r="A223"/>
      <c r="B223"/>
      <c r="C223"/>
      <c r="D223"/>
      <c r="E223"/>
      <c r="F223"/>
      <c r="G223"/>
      <c r="H223" t="str">
        <f t="shared" si="3"/>
        <v xml:space="preserve"> </v>
      </c>
      <c r="I223" t="str" cm="1">
        <f t="array" ref="I223">IF(F223=0," ",IF(ISBLANK(INDEX(Initial_Component_aggregator!F:F,MATCH(F223,Initial_Component_aggregator!B:B,0))),"No change",INDEX(Initial_Component_aggregator!F:F,MATCH(F223,Initial_Component_aggregator!B:B,0))))</f>
        <v xml:space="preserve"> </v>
      </c>
      <c r="J223" t="str" cm="1">
        <f t="array" ref="J223">IF(F223=0," ",IF(ISBLANK(INDEX(Initial_Component_aggregator!H:H,MATCH(F223,Initial_Component_aggregator!B:B,0))),F223,INDEX(Initial_Component_aggregator!H:H,MATCH(F223,Initial_Component_aggregator!B:B,0))))</f>
        <v xml:space="preserve"> </v>
      </c>
      <c r="K223" t="str" cm="1">
        <f t="array" ref="K223">IF(F223=0," ",IF(ISBLANK(INDEX(Initial_Component_aggregator!H:H,MATCH(F223,Initial_Component_aggregator!B:B))),D223,INDEX(Initial_Component_aggregator!I:I,MATCH(J223,Initial_Component_aggregator!H:H))))</f>
        <v xml:space="preserve"> </v>
      </c>
      <c r="L223" t="str" cm="1">
        <f t="array" ref="L223">IF(F223=0," ",IF(ISBLANK(INDEX(Initial_Component_aggregator!H:H,MATCH(F223,Initial_Component_aggregator!B:B))),E223,INDEX(Initial_Component_aggregator!J:J,MATCH(J223,Initial_Component_aggregator!H:H))))</f>
        <v xml:space="preserve"> </v>
      </c>
      <c r="M223" t="str" cm="1">
        <f t="array" ref="M223">IF(F223=0," ",IF(ISBLANK(INDEX(Initial_Component_aggregator!H:H,MATCH(F223,Initial_Component_aggregator!B:B))),F223,INDEX(Initial_Component_aggregator!K:K,MATCH(J223,Initial_Component_aggregator!H:H))))</f>
        <v xml:space="preserve"> </v>
      </c>
    </row>
    <row r="224" spans="1:13" ht="36" customHeight="1">
      <c r="A224"/>
      <c r="B224"/>
      <c r="C224"/>
      <c r="D224"/>
      <c r="E224"/>
      <c r="F224"/>
      <c r="G224"/>
      <c r="H224" t="str">
        <f t="shared" si="3"/>
        <v xml:space="preserve"> </v>
      </c>
      <c r="I224" t="str" cm="1">
        <f t="array" ref="I224">IF(F224=0," ",IF(ISBLANK(INDEX(Initial_Component_aggregator!F:F,MATCH(F224,Initial_Component_aggregator!B:B,0))),"No change",INDEX(Initial_Component_aggregator!F:F,MATCH(F224,Initial_Component_aggregator!B:B,0))))</f>
        <v xml:space="preserve"> </v>
      </c>
      <c r="J224" t="str" cm="1">
        <f t="array" ref="J224">IF(F224=0," ",IF(ISBLANK(INDEX(Initial_Component_aggregator!H:H,MATCH(F224,Initial_Component_aggregator!B:B,0))),F224,INDEX(Initial_Component_aggregator!H:H,MATCH(F224,Initial_Component_aggregator!B:B,0))))</f>
        <v xml:space="preserve"> </v>
      </c>
      <c r="K224" t="str" cm="1">
        <f t="array" ref="K224">IF(F224=0," ",IF(ISBLANK(INDEX(Initial_Component_aggregator!H:H,MATCH(F224,Initial_Component_aggregator!B:B))),D224,INDEX(Initial_Component_aggregator!I:I,MATCH(J224,Initial_Component_aggregator!H:H))))</f>
        <v xml:space="preserve"> </v>
      </c>
      <c r="L224" t="str" cm="1">
        <f t="array" ref="L224">IF(F224=0," ",IF(ISBLANK(INDEX(Initial_Component_aggregator!H:H,MATCH(F224,Initial_Component_aggregator!B:B))),E224,INDEX(Initial_Component_aggregator!J:J,MATCH(J224,Initial_Component_aggregator!H:H))))</f>
        <v xml:space="preserve"> </v>
      </c>
      <c r="M224" t="str" cm="1">
        <f t="array" ref="M224">IF(F224=0," ",IF(ISBLANK(INDEX(Initial_Component_aggregator!H:H,MATCH(F224,Initial_Component_aggregator!B:B))),F224,INDEX(Initial_Component_aggregator!K:K,MATCH(J224,Initial_Component_aggregator!H:H))))</f>
        <v xml:space="preserve"> </v>
      </c>
    </row>
    <row r="225" spans="1:13" ht="36" customHeight="1">
      <c r="A225"/>
      <c r="B225"/>
      <c r="C225"/>
      <c r="D225"/>
      <c r="E225"/>
      <c r="F225"/>
      <c r="G225"/>
      <c r="H225" t="str">
        <f t="shared" si="3"/>
        <v xml:space="preserve"> </v>
      </c>
      <c r="I225" t="str" cm="1">
        <f t="array" ref="I225">IF(F225=0," ",IF(ISBLANK(INDEX(Initial_Component_aggregator!F:F,MATCH(F225,Initial_Component_aggregator!B:B,0))),"No change",INDEX(Initial_Component_aggregator!F:F,MATCH(F225,Initial_Component_aggregator!B:B,0))))</f>
        <v xml:space="preserve"> </v>
      </c>
      <c r="J225" t="str" cm="1">
        <f t="array" ref="J225">IF(F225=0," ",IF(ISBLANK(INDEX(Initial_Component_aggregator!H:H,MATCH(F225,Initial_Component_aggregator!B:B,0))),F225,INDEX(Initial_Component_aggregator!H:H,MATCH(F225,Initial_Component_aggregator!B:B,0))))</f>
        <v xml:space="preserve"> </v>
      </c>
      <c r="K225" t="str" cm="1">
        <f t="array" ref="K225">IF(F225=0," ",IF(ISBLANK(INDEX(Initial_Component_aggregator!H:H,MATCH(F225,Initial_Component_aggregator!B:B))),D225,INDEX(Initial_Component_aggregator!I:I,MATCH(J225,Initial_Component_aggregator!H:H))))</f>
        <v xml:space="preserve"> </v>
      </c>
      <c r="L225" t="str" cm="1">
        <f t="array" ref="L225">IF(F225=0," ",IF(ISBLANK(INDEX(Initial_Component_aggregator!H:H,MATCH(F225,Initial_Component_aggregator!B:B))),E225,INDEX(Initial_Component_aggregator!J:J,MATCH(J225,Initial_Component_aggregator!H:H))))</f>
        <v xml:space="preserve"> </v>
      </c>
      <c r="M225" t="str" cm="1">
        <f t="array" ref="M225">IF(F225=0," ",IF(ISBLANK(INDEX(Initial_Component_aggregator!H:H,MATCH(F225,Initial_Component_aggregator!B:B))),F225,INDEX(Initial_Component_aggregator!K:K,MATCH(J225,Initial_Component_aggregator!H:H))))</f>
        <v xml:space="preserve"> </v>
      </c>
    </row>
    <row r="226" spans="1:13" ht="36" customHeight="1">
      <c r="A226"/>
      <c r="B226"/>
      <c r="C226"/>
      <c r="D226"/>
      <c r="E226"/>
      <c r="F226"/>
      <c r="G226"/>
      <c r="H226" t="str">
        <f t="shared" si="3"/>
        <v xml:space="preserve"> </v>
      </c>
      <c r="I226" t="str" cm="1">
        <f t="array" ref="I226">IF(F226=0," ",IF(ISBLANK(INDEX(Initial_Component_aggregator!F:F,MATCH(F226,Initial_Component_aggregator!B:B,0))),"No change",INDEX(Initial_Component_aggregator!F:F,MATCH(F226,Initial_Component_aggregator!B:B,0))))</f>
        <v xml:space="preserve"> </v>
      </c>
      <c r="J226" t="str" cm="1">
        <f t="array" ref="J226">IF(F226=0," ",IF(ISBLANK(INDEX(Initial_Component_aggregator!H:H,MATCH(F226,Initial_Component_aggregator!B:B,0))),F226,INDEX(Initial_Component_aggregator!H:H,MATCH(F226,Initial_Component_aggregator!B:B,0))))</f>
        <v xml:space="preserve"> </v>
      </c>
      <c r="K226" t="str" cm="1">
        <f t="array" ref="K226">IF(F226=0," ",IF(ISBLANK(INDEX(Initial_Component_aggregator!H:H,MATCH(F226,Initial_Component_aggregator!B:B))),D226,INDEX(Initial_Component_aggregator!I:I,MATCH(J226,Initial_Component_aggregator!H:H))))</f>
        <v xml:space="preserve"> </v>
      </c>
      <c r="L226" t="str" cm="1">
        <f t="array" ref="L226">IF(F226=0," ",IF(ISBLANK(INDEX(Initial_Component_aggregator!H:H,MATCH(F226,Initial_Component_aggregator!B:B))),E226,INDEX(Initial_Component_aggregator!J:J,MATCH(J226,Initial_Component_aggregator!H:H))))</f>
        <v xml:space="preserve"> </v>
      </c>
      <c r="M226" t="str" cm="1">
        <f t="array" ref="M226">IF(F226=0," ",IF(ISBLANK(INDEX(Initial_Component_aggregator!H:H,MATCH(F226,Initial_Component_aggregator!B:B))),F226,INDEX(Initial_Component_aggregator!K:K,MATCH(J226,Initial_Component_aggregator!H:H))))</f>
        <v xml:space="preserve"> </v>
      </c>
    </row>
    <row r="227" spans="1:13" ht="36" customHeight="1">
      <c r="A227"/>
      <c r="B227"/>
      <c r="C227"/>
      <c r="D227"/>
      <c r="E227"/>
      <c r="F227"/>
      <c r="G227"/>
      <c r="H227" t="str">
        <f t="shared" si="3"/>
        <v xml:space="preserve"> </v>
      </c>
      <c r="I227" t="str" cm="1">
        <f t="array" ref="I227">IF(F227=0," ",IF(ISBLANK(INDEX(Initial_Component_aggregator!F:F,MATCH(F227,Initial_Component_aggregator!B:B,0))),"No change",INDEX(Initial_Component_aggregator!F:F,MATCH(F227,Initial_Component_aggregator!B:B,0))))</f>
        <v xml:space="preserve"> </v>
      </c>
      <c r="J227" t="str" cm="1">
        <f t="array" ref="J227">IF(F227=0," ",IF(ISBLANK(INDEX(Initial_Component_aggregator!H:H,MATCH(F227,Initial_Component_aggregator!B:B,0))),F227,INDEX(Initial_Component_aggregator!H:H,MATCH(F227,Initial_Component_aggregator!B:B,0))))</f>
        <v xml:space="preserve"> </v>
      </c>
      <c r="K227" t="str" cm="1">
        <f t="array" ref="K227">IF(F227=0," ",IF(ISBLANK(INDEX(Initial_Component_aggregator!H:H,MATCH(F227,Initial_Component_aggregator!B:B))),D227,INDEX(Initial_Component_aggregator!I:I,MATCH(J227,Initial_Component_aggregator!H:H))))</f>
        <v xml:space="preserve"> </v>
      </c>
      <c r="L227" t="str" cm="1">
        <f t="array" ref="L227">IF(F227=0," ",IF(ISBLANK(INDEX(Initial_Component_aggregator!H:H,MATCH(F227,Initial_Component_aggregator!B:B))),E227,INDEX(Initial_Component_aggregator!J:J,MATCH(J227,Initial_Component_aggregator!H:H))))</f>
        <v xml:space="preserve"> </v>
      </c>
      <c r="M227" t="str" cm="1">
        <f t="array" ref="M227">IF(F227=0," ",IF(ISBLANK(INDEX(Initial_Component_aggregator!H:H,MATCH(F227,Initial_Component_aggregator!B:B))),F227,INDEX(Initial_Component_aggregator!K:K,MATCH(J227,Initial_Component_aggregator!H:H))))</f>
        <v xml:space="preserve"> </v>
      </c>
    </row>
    <row r="228" spans="1:13" ht="36" customHeight="1">
      <c r="A228"/>
      <c r="B228"/>
      <c r="C228"/>
      <c r="D228"/>
      <c r="E228"/>
      <c r="F228"/>
      <c r="G228"/>
      <c r="H228" t="str">
        <f t="shared" si="3"/>
        <v xml:space="preserve"> </v>
      </c>
      <c r="I228" t="str" cm="1">
        <f t="array" ref="I228">IF(F228=0," ",IF(ISBLANK(INDEX(Initial_Component_aggregator!F:F,MATCH(F228,Initial_Component_aggregator!B:B,0))),"No change",INDEX(Initial_Component_aggregator!F:F,MATCH(F228,Initial_Component_aggregator!B:B,0))))</f>
        <v xml:space="preserve"> </v>
      </c>
      <c r="J228" t="str" cm="1">
        <f t="array" ref="J228">IF(F228=0," ",IF(ISBLANK(INDEX(Initial_Component_aggregator!H:H,MATCH(F228,Initial_Component_aggregator!B:B,0))),F228,INDEX(Initial_Component_aggregator!H:H,MATCH(F228,Initial_Component_aggregator!B:B,0))))</f>
        <v xml:space="preserve"> </v>
      </c>
      <c r="K228" t="str" cm="1">
        <f t="array" ref="K228">IF(F228=0," ",IF(ISBLANK(INDEX(Initial_Component_aggregator!H:H,MATCH(F228,Initial_Component_aggregator!B:B))),D228,INDEX(Initial_Component_aggregator!I:I,MATCH(J228,Initial_Component_aggregator!H:H))))</f>
        <v xml:space="preserve"> </v>
      </c>
      <c r="L228" t="str" cm="1">
        <f t="array" ref="L228">IF(F228=0," ",IF(ISBLANK(INDEX(Initial_Component_aggregator!H:H,MATCH(F228,Initial_Component_aggregator!B:B))),E228,INDEX(Initial_Component_aggregator!J:J,MATCH(J228,Initial_Component_aggregator!H:H))))</f>
        <v xml:space="preserve"> </v>
      </c>
      <c r="M228" t="str" cm="1">
        <f t="array" ref="M228">IF(F228=0," ",IF(ISBLANK(INDEX(Initial_Component_aggregator!H:H,MATCH(F228,Initial_Component_aggregator!B:B))),F228,INDEX(Initial_Component_aggregator!K:K,MATCH(J228,Initial_Component_aggregator!H:H))))</f>
        <v xml:space="preserve"> </v>
      </c>
    </row>
    <row r="229" spans="1:13" ht="36" customHeight="1">
      <c r="A229"/>
      <c r="B229"/>
      <c r="C229"/>
      <c r="D229"/>
      <c r="E229"/>
      <c r="F229"/>
      <c r="G229"/>
      <c r="H229" t="str">
        <f t="shared" si="3"/>
        <v xml:space="preserve"> </v>
      </c>
      <c r="I229" t="str" cm="1">
        <f t="array" ref="I229">IF(F229=0," ",IF(ISBLANK(INDEX(Initial_Component_aggregator!F:F,MATCH(F229,Initial_Component_aggregator!B:B,0))),"No change",INDEX(Initial_Component_aggregator!F:F,MATCH(F229,Initial_Component_aggregator!B:B,0))))</f>
        <v xml:space="preserve"> </v>
      </c>
      <c r="J229" t="str" cm="1">
        <f t="array" ref="J229">IF(F229=0," ",IF(ISBLANK(INDEX(Initial_Component_aggregator!H:H,MATCH(F229,Initial_Component_aggregator!B:B,0))),F229,INDEX(Initial_Component_aggregator!H:H,MATCH(F229,Initial_Component_aggregator!B:B,0))))</f>
        <v xml:space="preserve"> </v>
      </c>
      <c r="K229" t="str" cm="1">
        <f t="array" ref="K229">IF(F229=0," ",IF(ISBLANK(INDEX(Initial_Component_aggregator!H:H,MATCH(F229,Initial_Component_aggregator!B:B))),D229,INDEX(Initial_Component_aggregator!I:I,MATCH(J229,Initial_Component_aggregator!H:H))))</f>
        <v xml:space="preserve"> </v>
      </c>
      <c r="L229" t="str" cm="1">
        <f t="array" ref="L229">IF(F229=0," ",IF(ISBLANK(INDEX(Initial_Component_aggregator!H:H,MATCH(F229,Initial_Component_aggregator!B:B))),E229,INDEX(Initial_Component_aggregator!J:J,MATCH(J229,Initial_Component_aggregator!H:H))))</f>
        <v xml:space="preserve"> </v>
      </c>
      <c r="M229" t="str" cm="1">
        <f t="array" ref="M229">IF(F229=0," ",IF(ISBLANK(INDEX(Initial_Component_aggregator!H:H,MATCH(F229,Initial_Component_aggregator!B:B))),F229,INDEX(Initial_Component_aggregator!K:K,MATCH(J229,Initial_Component_aggregator!H:H))))</f>
        <v xml:space="preserve"> </v>
      </c>
    </row>
    <row r="230" spans="1:13" ht="36" customHeight="1">
      <c r="A230"/>
      <c r="B230"/>
      <c r="C230"/>
      <c r="D230"/>
      <c r="E230"/>
      <c r="F230"/>
      <c r="G230"/>
      <c r="H230" t="str">
        <f t="shared" si="3"/>
        <v xml:space="preserve"> </v>
      </c>
      <c r="I230" t="str" cm="1">
        <f t="array" ref="I230">IF(F230=0," ",IF(ISBLANK(INDEX(Initial_Component_aggregator!F:F,MATCH(F230,Initial_Component_aggregator!B:B,0))),"No change",INDEX(Initial_Component_aggregator!F:F,MATCH(F230,Initial_Component_aggregator!B:B,0))))</f>
        <v xml:space="preserve"> </v>
      </c>
      <c r="J230" t="str" cm="1">
        <f t="array" ref="J230">IF(F230=0," ",IF(ISBLANK(INDEX(Initial_Component_aggregator!H:H,MATCH(F230,Initial_Component_aggregator!B:B,0))),F230,INDEX(Initial_Component_aggregator!H:H,MATCH(F230,Initial_Component_aggregator!B:B,0))))</f>
        <v xml:space="preserve"> </v>
      </c>
      <c r="K230" t="str" cm="1">
        <f t="array" ref="K230">IF(F230=0," ",IF(ISBLANK(INDEX(Initial_Component_aggregator!H:H,MATCH(F230,Initial_Component_aggregator!B:B))),D230,INDEX(Initial_Component_aggregator!I:I,MATCH(J230,Initial_Component_aggregator!H:H))))</f>
        <v xml:space="preserve"> </v>
      </c>
      <c r="L230" t="str" cm="1">
        <f t="array" ref="L230">IF(F230=0," ",IF(ISBLANK(INDEX(Initial_Component_aggregator!H:H,MATCH(F230,Initial_Component_aggregator!B:B))),E230,INDEX(Initial_Component_aggregator!J:J,MATCH(J230,Initial_Component_aggregator!H:H))))</f>
        <v xml:space="preserve"> </v>
      </c>
      <c r="M230" t="str" cm="1">
        <f t="array" ref="M230">IF(F230=0," ",IF(ISBLANK(INDEX(Initial_Component_aggregator!H:H,MATCH(F230,Initial_Component_aggregator!B:B))),F230,INDEX(Initial_Component_aggregator!K:K,MATCH(J230,Initial_Component_aggregator!H:H))))</f>
        <v xml:space="preserve"> </v>
      </c>
    </row>
    <row r="231" spans="1:13" ht="36" customHeight="1">
      <c r="A231"/>
      <c r="B231"/>
      <c r="C231"/>
      <c r="D231"/>
      <c r="E231"/>
      <c r="F231"/>
      <c r="G231"/>
      <c r="H231" t="str">
        <f t="shared" si="3"/>
        <v xml:space="preserve"> </v>
      </c>
      <c r="I231" t="str" cm="1">
        <f t="array" ref="I231">IF(F231=0," ",IF(ISBLANK(INDEX(Initial_Component_aggregator!F:F,MATCH(F231,Initial_Component_aggregator!B:B,0))),"No change",INDEX(Initial_Component_aggregator!F:F,MATCH(F231,Initial_Component_aggregator!B:B,0))))</f>
        <v xml:space="preserve"> </v>
      </c>
      <c r="J231" t="str" cm="1">
        <f t="array" ref="J231">IF(F231=0," ",IF(ISBLANK(INDEX(Initial_Component_aggregator!H:H,MATCH(F231,Initial_Component_aggregator!B:B,0))),F231,INDEX(Initial_Component_aggregator!H:H,MATCH(F231,Initial_Component_aggregator!B:B,0))))</f>
        <v xml:space="preserve"> </v>
      </c>
      <c r="K231" t="str" cm="1">
        <f t="array" ref="K231">IF(F231=0," ",IF(ISBLANK(INDEX(Initial_Component_aggregator!H:H,MATCH(F231,Initial_Component_aggregator!B:B))),D231,INDEX(Initial_Component_aggregator!I:I,MATCH(J231,Initial_Component_aggregator!H:H))))</f>
        <v xml:space="preserve"> </v>
      </c>
      <c r="L231" t="str" cm="1">
        <f t="array" ref="L231">IF(F231=0," ",IF(ISBLANK(INDEX(Initial_Component_aggregator!H:H,MATCH(F231,Initial_Component_aggregator!B:B))),E231,INDEX(Initial_Component_aggregator!J:J,MATCH(J231,Initial_Component_aggregator!H:H))))</f>
        <v xml:space="preserve"> </v>
      </c>
      <c r="M231" t="str" cm="1">
        <f t="array" ref="M231">IF(F231=0," ",IF(ISBLANK(INDEX(Initial_Component_aggregator!H:H,MATCH(F231,Initial_Component_aggregator!B:B))),F231,INDEX(Initial_Component_aggregator!K:K,MATCH(J231,Initial_Component_aggregator!H:H))))</f>
        <v xml:space="preserve"> </v>
      </c>
    </row>
    <row r="232" spans="1:13" ht="36" customHeight="1">
      <c r="A232"/>
      <c r="B232"/>
      <c r="C232"/>
      <c r="D232"/>
      <c r="E232"/>
      <c r="F232"/>
      <c r="G232"/>
      <c r="H232" t="str">
        <f t="shared" si="3"/>
        <v xml:space="preserve"> </v>
      </c>
      <c r="I232" t="str" cm="1">
        <f t="array" ref="I232">IF(F232=0," ",IF(ISBLANK(INDEX(Initial_Component_aggregator!F:F,MATCH(F232,Initial_Component_aggregator!B:B,0))),"No change",INDEX(Initial_Component_aggregator!F:F,MATCH(F232,Initial_Component_aggregator!B:B,0))))</f>
        <v xml:space="preserve"> </v>
      </c>
      <c r="J232" t="str" cm="1">
        <f t="array" ref="J232">IF(F232=0," ",IF(ISBLANK(INDEX(Initial_Component_aggregator!H:H,MATCH(F232,Initial_Component_aggregator!B:B,0))),F232,INDEX(Initial_Component_aggregator!H:H,MATCH(F232,Initial_Component_aggregator!B:B,0))))</f>
        <v xml:space="preserve"> </v>
      </c>
      <c r="K232" t="str" cm="1">
        <f t="array" ref="K232">IF(F232=0," ",IF(ISBLANK(INDEX(Initial_Component_aggregator!H:H,MATCH(F232,Initial_Component_aggregator!B:B))),D232,INDEX(Initial_Component_aggregator!I:I,MATCH(J232,Initial_Component_aggregator!H:H))))</f>
        <v xml:space="preserve"> </v>
      </c>
      <c r="L232" t="str" cm="1">
        <f t="array" ref="L232">IF(F232=0," ",IF(ISBLANK(INDEX(Initial_Component_aggregator!H:H,MATCH(F232,Initial_Component_aggregator!B:B))),E232,INDEX(Initial_Component_aggregator!J:J,MATCH(J232,Initial_Component_aggregator!H:H))))</f>
        <v xml:space="preserve"> </v>
      </c>
      <c r="M232" t="str" cm="1">
        <f t="array" ref="M232">IF(F232=0," ",IF(ISBLANK(INDEX(Initial_Component_aggregator!H:H,MATCH(F232,Initial_Component_aggregator!B:B))),F232,INDEX(Initial_Component_aggregator!K:K,MATCH(J232,Initial_Component_aggregator!H:H))))</f>
        <v xml:space="preserve"> </v>
      </c>
    </row>
    <row r="233" spans="1:13" ht="36" customHeight="1">
      <c r="A233"/>
      <c r="B233"/>
      <c r="C233"/>
      <c r="D233"/>
      <c r="E233"/>
      <c r="F233"/>
      <c r="G233"/>
      <c r="H233" t="str">
        <f t="shared" si="3"/>
        <v xml:space="preserve"> </v>
      </c>
      <c r="I233" t="str" cm="1">
        <f t="array" ref="I233">IF(F233=0," ",IF(ISBLANK(INDEX(Initial_Component_aggregator!F:F,MATCH(F233,Initial_Component_aggregator!B:B,0))),"No change",INDEX(Initial_Component_aggregator!F:F,MATCH(F233,Initial_Component_aggregator!B:B,0))))</f>
        <v xml:space="preserve"> </v>
      </c>
      <c r="J233" t="str" cm="1">
        <f t="array" ref="J233">IF(F233=0," ",IF(ISBLANK(INDEX(Initial_Component_aggregator!H:H,MATCH(F233,Initial_Component_aggregator!B:B,0))),F233,INDEX(Initial_Component_aggregator!H:H,MATCH(F233,Initial_Component_aggregator!B:B,0))))</f>
        <v xml:space="preserve"> </v>
      </c>
      <c r="K233" t="str" cm="1">
        <f t="array" ref="K233">IF(F233=0," ",IF(ISBLANK(INDEX(Initial_Component_aggregator!H:H,MATCH(F233,Initial_Component_aggregator!B:B))),D233,INDEX(Initial_Component_aggregator!I:I,MATCH(J233,Initial_Component_aggregator!H:H))))</f>
        <v xml:space="preserve"> </v>
      </c>
      <c r="L233" t="str" cm="1">
        <f t="array" ref="L233">IF(F233=0," ",IF(ISBLANK(INDEX(Initial_Component_aggregator!H:H,MATCH(F233,Initial_Component_aggregator!B:B))),E233,INDEX(Initial_Component_aggregator!J:J,MATCH(J233,Initial_Component_aggregator!H:H))))</f>
        <v xml:space="preserve"> </v>
      </c>
      <c r="M233" t="str" cm="1">
        <f t="array" ref="M233">IF(F233=0," ",IF(ISBLANK(INDEX(Initial_Component_aggregator!H:H,MATCH(F233,Initial_Component_aggregator!B:B))),F233,INDEX(Initial_Component_aggregator!K:K,MATCH(J233,Initial_Component_aggregator!H:H))))</f>
        <v xml:space="preserve"> </v>
      </c>
    </row>
    <row r="234" spans="1:13" ht="36" customHeight="1">
      <c r="A234"/>
      <c r="B234"/>
      <c r="C234"/>
      <c r="D234"/>
      <c r="E234"/>
      <c r="F234"/>
      <c r="G234"/>
      <c r="H234" t="str">
        <f t="shared" si="3"/>
        <v xml:space="preserve"> </v>
      </c>
      <c r="I234" t="str" cm="1">
        <f t="array" ref="I234">IF(F234=0," ",IF(ISBLANK(INDEX(Initial_Component_aggregator!F:F,MATCH(F234,Initial_Component_aggregator!B:B,0))),"No change",INDEX(Initial_Component_aggregator!F:F,MATCH(F234,Initial_Component_aggregator!B:B,0))))</f>
        <v xml:space="preserve"> </v>
      </c>
      <c r="J234" t="str" cm="1">
        <f t="array" ref="J234">IF(F234=0," ",IF(ISBLANK(INDEX(Initial_Component_aggregator!H:H,MATCH(F234,Initial_Component_aggregator!B:B,0))),F234,INDEX(Initial_Component_aggregator!H:H,MATCH(F234,Initial_Component_aggregator!B:B,0))))</f>
        <v xml:space="preserve"> </v>
      </c>
      <c r="K234" t="str" cm="1">
        <f t="array" ref="K234">IF(F234=0," ",IF(ISBLANK(INDEX(Initial_Component_aggregator!H:H,MATCH(F234,Initial_Component_aggregator!B:B))),D234,INDEX(Initial_Component_aggregator!I:I,MATCH(J234,Initial_Component_aggregator!H:H))))</f>
        <v xml:space="preserve"> </v>
      </c>
      <c r="L234" t="str" cm="1">
        <f t="array" ref="L234">IF(F234=0," ",IF(ISBLANK(INDEX(Initial_Component_aggregator!H:H,MATCH(F234,Initial_Component_aggregator!B:B))),E234,INDEX(Initial_Component_aggregator!J:J,MATCH(J234,Initial_Component_aggregator!H:H))))</f>
        <v xml:space="preserve"> </v>
      </c>
      <c r="M234" t="str" cm="1">
        <f t="array" ref="M234">IF(F234=0," ",IF(ISBLANK(INDEX(Initial_Component_aggregator!H:H,MATCH(F234,Initial_Component_aggregator!B:B))),F234,INDEX(Initial_Component_aggregator!K:K,MATCH(J234,Initial_Component_aggregator!H:H))))</f>
        <v xml:space="preserve"> </v>
      </c>
    </row>
    <row r="235" spans="1:13" ht="36" customHeight="1">
      <c r="A235"/>
      <c r="B235"/>
      <c r="C235"/>
      <c r="D235"/>
      <c r="E235"/>
      <c r="F235"/>
      <c r="G235"/>
      <c r="H235" t="str">
        <f t="shared" si="3"/>
        <v xml:space="preserve"> </v>
      </c>
      <c r="I235" t="str" cm="1">
        <f t="array" ref="I235">IF(F235=0," ",IF(ISBLANK(INDEX(Initial_Component_aggregator!F:F,MATCH(F235,Initial_Component_aggregator!B:B,0))),"No change",INDEX(Initial_Component_aggregator!F:F,MATCH(F235,Initial_Component_aggregator!B:B,0))))</f>
        <v xml:space="preserve"> </v>
      </c>
      <c r="J235" t="str" cm="1">
        <f t="array" ref="J235">IF(F235=0," ",IF(ISBLANK(INDEX(Initial_Component_aggregator!H:H,MATCH(F235,Initial_Component_aggregator!B:B,0))),F235,INDEX(Initial_Component_aggregator!H:H,MATCH(F235,Initial_Component_aggregator!B:B,0))))</f>
        <v xml:space="preserve"> </v>
      </c>
      <c r="K235" t="str" cm="1">
        <f t="array" ref="K235">IF(F235=0," ",IF(ISBLANK(INDEX(Initial_Component_aggregator!H:H,MATCH(F235,Initial_Component_aggregator!B:B))),D235,INDEX(Initial_Component_aggregator!I:I,MATCH(J235,Initial_Component_aggregator!H:H))))</f>
        <v xml:space="preserve"> </v>
      </c>
      <c r="L235" t="str" cm="1">
        <f t="array" ref="L235">IF(F235=0," ",IF(ISBLANK(INDEX(Initial_Component_aggregator!H:H,MATCH(F235,Initial_Component_aggregator!B:B))),E235,INDEX(Initial_Component_aggregator!J:J,MATCH(J235,Initial_Component_aggregator!H:H))))</f>
        <v xml:space="preserve"> </v>
      </c>
      <c r="M235" t="str" cm="1">
        <f t="array" ref="M235">IF(F235=0," ",IF(ISBLANK(INDEX(Initial_Component_aggregator!H:H,MATCH(F235,Initial_Component_aggregator!B:B))),F235,INDEX(Initial_Component_aggregator!K:K,MATCH(J235,Initial_Component_aggregator!H:H))))</f>
        <v xml:space="preserve"> </v>
      </c>
    </row>
    <row r="236" spans="1:13" ht="36" customHeight="1">
      <c r="A236"/>
      <c r="B236"/>
      <c r="C236"/>
      <c r="D236"/>
      <c r="E236"/>
      <c r="F236"/>
      <c r="G236"/>
      <c r="H236" t="str">
        <f t="shared" si="3"/>
        <v xml:space="preserve"> </v>
      </c>
      <c r="I236" t="str" cm="1">
        <f t="array" ref="I236">IF(F236=0," ",IF(ISBLANK(INDEX(Initial_Component_aggregator!F:F,MATCH(F236,Initial_Component_aggregator!B:B,0))),"No change",INDEX(Initial_Component_aggregator!F:F,MATCH(F236,Initial_Component_aggregator!B:B,0))))</f>
        <v xml:space="preserve"> </v>
      </c>
      <c r="J236" t="str" cm="1">
        <f t="array" ref="J236">IF(F236=0," ",IF(ISBLANK(INDEX(Initial_Component_aggregator!H:H,MATCH(F236,Initial_Component_aggregator!B:B,0))),F236,INDEX(Initial_Component_aggregator!H:H,MATCH(F236,Initial_Component_aggregator!B:B,0))))</f>
        <v xml:space="preserve"> </v>
      </c>
      <c r="K236" t="str" cm="1">
        <f t="array" ref="K236">IF(F236=0," ",IF(ISBLANK(INDEX(Initial_Component_aggregator!H:H,MATCH(F236,Initial_Component_aggregator!B:B))),D236,INDEX(Initial_Component_aggregator!I:I,MATCH(J236,Initial_Component_aggregator!H:H))))</f>
        <v xml:space="preserve"> </v>
      </c>
      <c r="L236" t="str" cm="1">
        <f t="array" ref="L236">IF(F236=0," ",IF(ISBLANK(INDEX(Initial_Component_aggregator!H:H,MATCH(F236,Initial_Component_aggregator!B:B))),E236,INDEX(Initial_Component_aggregator!J:J,MATCH(J236,Initial_Component_aggregator!H:H))))</f>
        <v xml:space="preserve"> </v>
      </c>
      <c r="M236" t="str" cm="1">
        <f t="array" ref="M236">IF(F236=0," ",IF(ISBLANK(INDEX(Initial_Component_aggregator!H:H,MATCH(F236,Initial_Component_aggregator!B:B))),F236,INDEX(Initial_Component_aggregator!K:K,MATCH(J236,Initial_Component_aggregator!H:H))))</f>
        <v xml:space="preserve"> </v>
      </c>
    </row>
    <row r="237" spans="1:13" ht="36" customHeight="1">
      <c r="A237"/>
      <c r="B237"/>
      <c r="C237"/>
      <c r="D237"/>
      <c r="E237"/>
      <c r="F237"/>
      <c r="G237"/>
      <c r="H237" t="str">
        <f t="shared" si="3"/>
        <v xml:space="preserve"> </v>
      </c>
      <c r="I237" t="str" cm="1">
        <f t="array" ref="I237">IF(F237=0," ",IF(ISBLANK(INDEX(Initial_Component_aggregator!F:F,MATCH(F237,Initial_Component_aggregator!B:B,0))),"No change",INDEX(Initial_Component_aggregator!F:F,MATCH(F237,Initial_Component_aggregator!B:B,0))))</f>
        <v xml:space="preserve"> </v>
      </c>
      <c r="J237" t="str" cm="1">
        <f t="array" ref="J237">IF(F237=0," ",IF(ISBLANK(INDEX(Initial_Component_aggregator!H:H,MATCH(F237,Initial_Component_aggregator!B:B,0))),F237,INDEX(Initial_Component_aggregator!H:H,MATCH(F237,Initial_Component_aggregator!B:B,0))))</f>
        <v xml:space="preserve"> </v>
      </c>
      <c r="K237" t="str" cm="1">
        <f t="array" ref="K237">IF(F237=0," ",IF(ISBLANK(INDEX(Initial_Component_aggregator!H:H,MATCH(F237,Initial_Component_aggregator!B:B))),D237,INDEX(Initial_Component_aggregator!I:I,MATCH(J237,Initial_Component_aggregator!H:H))))</f>
        <v xml:space="preserve"> </v>
      </c>
      <c r="L237" t="str" cm="1">
        <f t="array" ref="L237">IF(F237=0," ",IF(ISBLANK(INDEX(Initial_Component_aggregator!H:H,MATCH(F237,Initial_Component_aggregator!B:B))),E237,INDEX(Initial_Component_aggregator!J:J,MATCH(J237,Initial_Component_aggregator!H:H))))</f>
        <v xml:space="preserve"> </v>
      </c>
      <c r="M237" t="str" cm="1">
        <f t="array" ref="M237">IF(F237=0," ",IF(ISBLANK(INDEX(Initial_Component_aggregator!H:H,MATCH(F237,Initial_Component_aggregator!B:B))),F237,INDEX(Initial_Component_aggregator!K:K,MATCH(J237,Initial_Component_aggregator!H:H))))</f>
        <v xml:space="preserve"> </v>
      </c>
    </row>
    <row r="238" spans="1:13" ht="36" customHeight="1">
      <c r="A238"/>
      <c r="B238"/>
      <c r="C238"/>
      <c r="D238"/>
      <c r="E238"/>
      <c r="F238"/>
      <c r="G238"/>
      <c r="H238" t="str">
        <f t="shared" si="3"/>
        <v xml:space="preserve"> </v>
      </c>
      <c r="I238" t="str" cm="1">
        <f t="array" ref="I238">IF(F238=0," ",IF(ISBLANK(INDEX(Initial_Component_aggregator!F:F,MATCH(F238,Initial_Component_aggregator!B:B,0))),"No change",INDEX(Initial_Component_aggregator!F:F,MATCH(F238,Initial_Component_aggregator!B:B,0))))</f>
        <v xml:space="preserve"> </v>
      </c>
      <c r="J238" t="str" cm="1">
        <f t="array" ref="J238">IF(F238=0," ",IF(ISBLANK(INDEX(Initial_Component_aggregator!H:H,MATCH(F238,Initial_Component_aggregator!B:B,0))),F238,INDEX(Initial_Component_aggregator!H:H,MATCH(F238,Initial_Component_aggregator!B:B,0))))</f>
        <v xml:space="preserve"> </v>
      </c>
      <c r="K238" t="str" cm="1">
        <f t="array" ref="K238">IF(F238=0," ",IF(ISBLANK(INDEX(Initial_Component_aggregator!H:H,MATCH(F238,Initial_Component_aggregator!B:B))),D238,INDEX(Initial_Component_aggregator!I:I,MATCH(J238,Initial_Component_aggregator!H:H))))</f>
        <v xml:space="preserve"> </v>
      </c>
      <c r="L238" t="str" cm="1">
        <f t="array" ref="L238">IF(F238=0," ",IF(ISBLANK(INDEX(Initial_Component_aggregator!H:H,MATCH(F238,Initial_Component_aggregator!B:B))),E238,INDEX(Initial_Component_aggregator!J:J,MATCH(J238,Initial_Component_aggregator!H:H))))</f>
        <v xml:space="preserve"> </v>
      </c>
      <c r="M238" t="str" cm="1">
        <f t="array" ref="M238">IF(F238=0," ",IF(ISBLANK(INDEX(Initial_Component_aggregator!H:H,MATCH(F238,Initial_Component_aggregator!B:B))),F238,INDEX(Initial_Component_aggregator!K:K,MATCH(J238,Initial_Component_aggregator!H:H))))</f>
        <v xml:space="preserve"> </v>
      </c>
    </row>
    <row r="239" spans="1:13" ht="36" customHeight="1">
      <c r="A239"/>
      <c r="B239"/>
      <c r="C239"/>
      <c r="D239"/>
      <c r="E239"/>
      <c r="F239"/>
      <c r="G239"/>
      <c r="H239" t="str">
        <f t="shared" si="3"/>
        <v xml:space="preserve"> </v>
      </c>
      <c r="I239" t="str" cm="1">
        <f t="array" ref="I239">IF(F239=0," ",IF(ISBLANK(INDEX(Initial_Component_aggregator!F:F,MATCH(F239,Initial_Component_aggregator!B:B,0))),"No change",INDEX(Initial_Component_aggregator!F:F,MATCH(F239,Initial_Component_aggregator!B:B,0))))</f>
        <v xml:space="preserve"> </v>
      </c>
      <c r="J239" t="str" cm="1">
        <f t="array" ref="J239">IF(F239=0," ",IF(ISBLANK(INDEX(Initial_Component_aggregator!H:H,MATCH(F239,Initial_Component_aggregator!B:B,0))),F239,INDEX(Initial_Component_aggregator!H:H,MATCH(F239,Initial_Component_aggregator!B:B,0))))</f>
        <v xml:space="preserve"> </v>
      </c>
      <c r="K239" t="str" cm="1">
        <f t="array" ref="K239">IF(F239=0," ",IF(ISBLANK(INDEX(Initial_Component_aggregator!H:H,MATCH(F239,Initial_Component_aggregator!B:B))),D239,INDEX(Initial_Component_aggregator!I:I,MATCH(J239,Initial_Component_aggregator!H:H))))</f>
        <v xml:space="preserve"> </v>
      </c>
      <c r="L239" t="str" cm="1">
        <f t="array" ref="L239">IF(F239=0," ",IF(ISBLANK(INDEX(Initial_Component_aggregator!H:H,MATCH(F239,Initial_Component_aggregator!B:B))),E239,INDEX(Initial_Component_aggregator!J:J,MATCH(J239,Initial_Component_aggregator!H:H))))</f>
        <v xml:space="preserve"> </v>
      </c>
      <c r="M239" t="str" cm="1">
        <f t="array" ref="M239">IF(F239=0," ",IF(ISBLANK(INDEX(Initial_Component_aggregator!H:H,MATCH(F239,Initial_Component_aggregator!B:B))),F239,INDEX(Initial_Component_aggregator!K:K,MATCH(J239,Initial_Component_aggregator!H:H))))</f>
        <v xml:space="preserve"> </v>
      </c>
    </row>
    <row r="240" spans="1:13" ht="36" customHeight="1">
      <c r="A240"/>
      <c r="B240"/>
      <c r="C240"/>
      <c r="D240"/>
      <c r="E240"/>
      <c r="F240"/>
      <c r="G240"/>
      <c r="H240" t="str">
        <f t="shared" si="3"/>
        <v xml:space="preserve"> </v>
      </c>
      <c r="I240" t="str" cm="1">
        <f t="array" ref="I240">IF(F240=0," ",IF(ISBLANK(INDEX(Initial_Component_aggregator!F:F,MATCH(F240,Initial_Component_aggregator!B:B,0))),"No change",INDEX(Initial_Component_aggregator!F:F,MATCH(F240,Initial_Component_aggregator!B:B,0))))</f>
        <v xml:space="preserve"> </v>
      </c>
      <c r="J240" t="str" cm="1">
        <f t="array" ref="J240">IF(F240=0," ",IF(ISBLANK(INDEX(Initial_Component_aggregator!H:H,MATCH(F240,Initial_Component_aggregator!B:B,0))),F240,INDEX(Initial_Component_aggregator!H:H,MATCH(F240,Initial_Component_aggregator!B:B,0))))</f>
        <v xml:space="preserve"> </v>
      </c>
      <c r="K240" t="str" cm="1">
        <f t="array" ref="K240">IF(F240=0," ",IF(ISBLANK(INDEX(Initial_Component_aggregator!H:H,MATCH(F240,Initial_Component_aggregator!B:B))),D240,INDEX(Initial_Component_aggregator!I:I,MATCH(J240,Initial_Component_aggregator!H:H))))</f>
        <v xml:space="preserve"> </v>
      </c>
      <c r="L240" t="str" cm="1">
        <f t="array" ref="L240">IF(F240=0," ",IF(ISBLANK(INDEX(Initial_Component_aggregator!H:H,MATCH(F240,Initial_Component_aggregator!B:B))),E240,INDEX(Initial_Component_aggregator!J:J,MATCH(J240,Initial_Component_aggregator!H:H))))</f>
        <v xml:space="preserve"> </v>
      </c>
      <c r="M240" t="str" cm="1">
        <f t="array" ref="M240">IF(F240=0," ",IF(ISBLANK(INDEX(Initial_Component_aggregator!H:H,MATCH(F240,Initial_Component_aggregator!B:B))),F240,INDEX(Initial_Component_aggregator!K:K,MATCH(J240,Initial_Component_aggregator!H:H))))</f>
        <v xml:space="preserve"> </v>
      </c>
    </row>
    <row r="241" spans="1:13" ht="36" customHeight="1">
      <c r="A241"/>
      <c r="B241"/>
      <c r="C241"/>
      <c r="D241"/>
      <c r="E241"/>
      <c r="F241"/>
      <c r="G241"/>
      <c r="H241" t="str">
        <f t="shared" si="3"/>
        <v xml:space="preserve"> </v>
      </c>
      <c r="I241" t="str" cm="1">
        <f t="array" ref="I241">IF(F241=0," ",IF(ISBLANK(INDEX(Initial_Component_aggregator!F:F,MATCH(F241,Initial_Component_aggregator!B:B,0))),"No change",INDEX(Initial_Component_aggregator!F:F,MATCH(F241,Initial_Component_aggregator!B:B,0))))</f>
        <v xml:space="preserve"> </v>
      </c>
      <c r="J241" t="str" cm="1">
        <f t="array" ref="J241">IF(F241=0," ",IF(ISBLANK(INDEX(Initial_Component_aggregator!H:H,MATCH(F241,Initial_Component_aggregator!B:B,0))),F241,INDEX(Initial_Component_aggregator!H:H,MATCH(F241,Initial_Component_aggregator!B:B,0))))</f>
        <v xml:space="preserve"> </v>
      </c>
      <c r="K241" t="str" cm="1">
        <f t="array" ref="K241">IF(F241=0," ",IF(ISBLANK(INDEX(Initial_Component_aggregator!H:H,MATCH(F241,Initial_Component_aggregator!B:B))),D241,INDEX(Initial_Component_aggregator!I:I,MATCH(J241,Initial_Component_aggregator!H:H))))</f>
        <v xml:space="preserve"> </v>
      </c>
      <c r="L241" t="str" cm="1">
        <f t="array" ref="L241">IF(F241=0," ",IF(ISBLANK(INDEX(Initial_Component_aggregator!H:H,MATCH(F241,Initial_Component_aggregator!B:B))),E241,INDEX(Initial_Component_aggregator!J:J,MATCH(J241,Initial_Component_aggregator!H:H))))</f>
        <v xml:space="preserve"> </v>
      </c>
      <c r="M241" t="str" cm="1">
        <f t="array" ref="M241">IF(F241=0," ",IF(ISBLANK(INDEX(Initial_Component_aggregator!H:H,MATCH(F241,Initial_Component_aggregator!B:B))),F241,INDEX(Initial_Component_aggregator!K:K,MATCH(J241,Initial_Component_aggregator!H:H))))</f>
        <v xml:space="preserve"> </v>
      </c>
    </row>
    <row r="242" spans="1:13" ht="36" customHeight="1">
      <c r="A242"/>
      <c r="B242"/>
      <c r="C242"/>
      <c r="D242"/>
      <c r="E242"/>
      <c r="F242"/>
      <c r="G242"/>
      <c r="H242" t="str">
        <f t="shared" si="3"/>
        <v xml:space="preserve"> </v>
      </c>
      <c r="I242" t="str" cm="1">
        <f t="array" ref="I242">IF(F242=0," ",IF(ISBLANK(INDEX(Initial_Component_aggregator!F:F,MATCH(F242,Initial_Component_aggregator!B:B,0))),"No change",INDEX(Initial_Component_aggregator!F:F,MATCH(F242,Initial_Component_aggregator!B:B,0))))</f>
        <v xml:space="preserve"> </v>
      </c>
      <c r="J242" t="str" cm="1">
        <f t="array" ref="J242">IF(F242=0," ",IF(ISBLANK(INDEX(Initial_Component_aggregator!H:H,MATCH(F242,Initial_Component_aggregator!B:B,0))),F242,INDEX(Initial_Component_aggregator!H:H,MATCH(F242,Initial_Component_aggregator!B:B,0))))</f>
        <v xml:space="preserve"> </v>
      </c>
      <c r="K242" t="str" cm="1">
        <f t="array" ref="K242">IF(F242=0," ",IF(ISBLANK(INDEX(Initial_Component_aggregator!H:H,MATCH(F242,Initial_Component_aggregator!B:B))),D242,INDEX(Initial_Component_aggregator!I:I,MATCH(J242,Initial_Component_aggregator!H:H))))</f>
        <v xml:space="preserve"> </v>
      </c>
      <c r="L242" t="str" cm="1">
        <f t="array" ref="L242">IF(F242=0," ",IF(ISBLANK(INDEX(Initial_Component_aggregator!H:H,MATCH(F242,Initial_Component_aggregator!B:B))),E242,INDEX(Initial_Component_aggregator!J:J,MATCH(J242,Initial_Component_aggregator!H:H))))</f>
        <v xml:space="preserve"> </v>
      </c>
      <c r="M242" t="str" cm="1">
        <f t="array" ref="M242">IF(F242=0," ",IF(ISBLANK(INDEX(Initial_Component_aggregator!H:H,MATCH(F242,Initial_Component_aggregator!B:B))),F242,INDEX(Initial_Component_aggregator!K:K,MATCH(J242,Initial_Component_aggregator!H:H))))</f>
        <v xml:space="preserve"> </v>
      </c>
    </row>
    <row r="243" spans="1:13" ht="36" customHeight="1">
      <c r="A243"/>
      <c r="B243"/>
      <c r="C243"/>
      <c r="D243"/>
      <c r="E243"/>
      <c r="F243"/>
      <c r="G243"/>
      <c r="H243" t="str">
        <f t="shared" si="3"/>
        <v xml:space="preserve"> </v>
      </c>
      <c r="I243" t="str" cm="1">
        <f t="array" ref="I243">IF(F243=0," ",IF(ISBLANK(INDEX(Initial_Component_aggregator!F:F,MATCH(F243,Initial_Component_aggregator!B:B,0))),"No change",INDEX(Initial_Component_aggregator!F:F,MATCH(F243,Initial_Component_aggregator!B:B,0))))</f>
        <v xml:space="preserve"> </v>
      </c>
      <c r="J243" t="str" cm="1">
        <f t="array" ref="J243">IF(F243=0," ",IF(ISBLANK(INDEX(Initial_Component_aggregator!H:H,MATCH(F243,Initial_Component_aggregator!B:B,0))),F243,INDEX(Initial_Component_aggregator!H:H,MATCH(F243,Initial_Component_aggregator!B:B,0))))</f>
        <v xml:space="preserve"> </v>
      </c>
      <c r="K243" t="str" cm="1">
        <f t="array" ref="K243">IF(F243=0," ",IF(ISBLANK(INDEX(Initial_Component_aggregator!H:H,MATCH(F243,Initial_Component_aggregator!B:B))),D243,INDEX(Initial_Component_aggregator!I:I,MATCH(J243,Initial_Component_aggregator!H:H))))</f>
        <v xml:space="preserve"> </v>
      </c>
      <c r="L243" t="str" cm="1">
        <f t="array" ref="L243">IF(F243=0," ",IF(ISBLANK(INDEX(Initial_Component_aggregator!H:H,MATCH(F243,Initial_Component_aggregator!B:B))),E243,INDEX(Initial_Component_aggregator!J:J,MATCH(J243,Initial_Component_aggregator!H:H))))</f>
        <v xml:space="preserve"> </v>
      </c>
      <c r="M243" t="str" cm="1">
        <f t="array" ref="M243">IF(F243=0," ",IF(ISBLANK(INDEX(Initial_Component_aggregator!H:H,MATCH(F243,Initial_Component_aggregator!B:B))),F243,INDEX(Initial_Component_aggregator!K:K,MATCH(J243,Initial_Component_aggregator!H:H))))</f>
        <v xml:space="preserve"> </v>
      </c>
    </row>
    <row r="244" spans="1:13" ht="36" customHeight="1">
      <c r="A244"/>
      <c r="B244"/>
      <c r="C244"/>
      <c r="D244"/>
      <c r="E244"/>
      <c r="F244"/>
      <c r="G244"/>
      <c r="H244" t="str">
        <f t="shared" si="3"/>
        <v xml:space="preserve"> </v>
      </c>
      <c r="I244" t="str" cm="1">
        <f t="array" ref="I244">IF(F244=0," ",IF(ISBLANK(INDEX(Initial_Component_aggregator!F:F,MATCH(F244,Initial_Component_aggregator!B:B,0))),"No change",INDEX(Initial_Component_aggregator!F:F,MATCH(F244,Initial_Component_aggregator!B:B,0))))</f>
        <v xml:space="preserve"> </v>
      </c>
      <c r="J244" t="str" cm="1">
        <f t="array" ref="J244">IF(F244=0," ",IF(ISBLANK(INDEX(Initial_Component_aggregator!H:H,MATCH(F244,Initial_Component_aggregator!B:B,0))),F244,INDEX(Initial_Component_aggregator!H:H,MATCH(F244,Initial_Component_aggregator!B:B,0))))</f>
        <v xml:space="preserve"> </v>
      </c>
      <c r="K244" t="str" cm="1">
        <f t="array" ref="K244">IF(F244=0," ",IF(ISBLANK(INDEX(Initial_Component_aggregator!H:H,MATCH(F244,Initial_Component_aggregator!B:B))),D244,INDEX(Initial_Component_aggregator!I:I,MATCH(J244,Initial_Component_aggregator!H:H))))</f>
        <v xml:space="preserve"> </v>
      </c>
      <c r="L244" t="str" cm="1">
        <f t="array" ref="L244">IF(F244=0," ",IF(ISBLANK(INDEX(Initial_Component_aggregator!H:H,MATCH(F244,Initial_Component_aggregator!B:B))),E244,INDEX(Initial_Component_aggregator!J:J,MATCH(J244,Initial_Component_aggregator!H:H))))</f>
        <v xml:space="preserve"> </v>
      </c>
      <c r="M244" t="str" cm="1">
        <f t="array" ref="M244">IF(F244=0," ",IF(ISBLANK(INDEX(Initial_Component_aggregator!H:H,MATCH(F244,Initial_Component_aggregator!B:B))),F244,INDEX(Initial_Component_aggregator!K:K,MATCH(J244,Initial_Component_aggregator!H:H))))</f>
        <v xml:space="preserve"> </v>
      </c>
    </row>
    <row r="245" spans="1:13" ht="36" customHeight="1">
      <c r="A245"/>
      <c r="B245"/>
      <c r="C245"/>
      <c r="D245"/>
      <c r="E245"/>
      <c r="F245"/>
      <c r="G245"/>
      <c r="H245" t="str">
        <f t="shared" si="3"/>
        <v xml:space="preserve"> </v>
      </c>
      <c r="I245" t="str" cm="1">
        <f t="array" ref="I245">IF(F245=0," ",IF(ISBLANK(INDEX(Initial_Component_aggregator!F:F,MATCH(F245,Initial_Component_aggregator!B:B,0))),"No change",INDEX(Initial_Component_aggregator!F:F,MATCH(F245,Initial_Component_aggregator!B:B,0))))</f>
        <v xml:space="preserve"> </v>
      </c>
      <c r="J245" t="str" cm="1">
        <f t="array" ref="J245">IF(F245=0," ",IF(ISBLANK(INDEX(Initial_Component_aggregator!H:H,MATCH(F245,Initial_Component_aggregator!B:B,0))),F245,INDEX(Initial_Component_aggregator!H:H,MATCH(F245,Initial_Component_aggregator!B:B,0))))</f>
        <v xml:space="preserve"> </v>
      </c>
      <c r="K245" t="str" cm="1">
        <f t="array" ref="K245">IF(F245=0," ",IF(ISBLANK(INDEX(Initial_Component_aggregator!H:H,MATCH(F245,Initial_Component_aggregator!B:B))),D245,INDEX(Initial_Component_aggregator!I:I,MATCH(J245,Initial_Component_aggregator!H:H))))</f>
        <v xml:space="preserve"> </v>
      </c>
      <c r="L245" t="str" cm="1">
        <f t="array" ref="L245">IF(F245=0," ",IF(ISBLANK(INDEX(Initial_Component_aggregator!H:H,MATCH(F245,Initial_Component_aggregator!B:B))),E245,INDEX(Initial_Component_aggregator!J:J,MATCH(J245,Initial_Component_aggregator!H:H))))</f>
        <v xml:space="preserve"> </v>
      </c>
      <c r="M245" t="str" cm="1">
        <f t="array" ref="M245">IF(F245=0," ",IF(ISBLANK(INDEX(Initial_Component_aggregator!H:H,MATCH(F245,Initial_Component_aggregator!B:B))),F245,INDEX(Initial_Component_aggregator!K:K,MATCH(J245,Initial_Component_aggregator!H:H))))</f>
        <v xml:space="preserve"> </v>
      </c>
    </row>
    <row r="246" spans="1:13" ht="36" customHeight="1">
      <c r="A246"/>
      <c r="B246"/>
      <c r="C246"/>
      <c r="D246"/>
      <c r="E246"/>
      <c r="F246"/>
      <c r="G246"/>
      <c r="H246" t="str">
        <f t="shared" si="3"/>
        <v xml:space="preserve"> </v>
      </c>
      <c r="I246" t="str" cm="1">
        <f t="array" ref="I246">IF(F246=0," ",IF(ISBLANK(INDEX(Initial_Component_aggregator!F:F,MATCH(F246,Initial_Component_aggregator!B:B,0))),"No change",INDEX(Initial_Component_aggregator!F:F,MATCH(F246,Initial_Component_aggregator!B:B,0))))</f>
        <v xml:space="preserve"> </v>
      </c>
      <c r="J246" t="str" cm="1">
        <f t="array" ref="J246">IF(F246=0," ",IF(ISBLANK(INDEX(Initial_Component_aggregator!H:H,MATCH(F246,Initial_Component_aggregator!B:B,0))),F246,INDEX(Initial_Component_aggregator!H:H,MATCH(F246,Initial_Component_aggregator!B:B,0))))</f>
        <v xml:space="preserve"> </v>
      </c>
      <c r="K246" t="str" cm="1">
        <f t="array" ref="K246">IF(F246=0," ",IF(ISBLANK(INDEX(Initial_Component_aggregator!H:H,MATCH(F246,Initial_Component_aggregator!B:B))),D246,INDEX(Initial_Component_aggregator!I:I,MATCH(J246,Initial_Component_aggregator!H:H))))</f>
        <v xml:space="preserve"> </v>
      </c>
      <c r="L246" t="str" cm="1">
        <f t="array" ref="L246">IF(F246=0," ",IF(ISBLANK(INDEX(Initial_Component_aggregator!H:H,MATCH(F246,Initial_Component_aggregator!B:B))),E246,INDEX(Initial_Component_aggregator!J:J,MATCH(J246,Initial_Component_aggregator!H:H))))</f>
        <v xml:space="preserve"> </v>
      </c>
      <c r="M246" t="str" cm="1">
        <f t="array" ref="M246">IF(F246=0," ",IF(ISBLANK(INDEX(Initial_Component_aggregator!H:H,MATCH(F246,Initial_Component_aggregator!B:B))),F246,INDEX(Initial_Component_aggregator!K:K,MATCH(J246,Initial_Component_aggregator!H:H))))</f>
        <v xml:space="preserve"> </v>
      </c>
    </row>
    <row r="247" spans="1:13" ht="36" customHeight="1">
      <c r="A247"/>
      <c r="B247"/>
      <c r="C247"/>
      <c r="D247"/>
      <c r="E247"/>
      <c r="F247"/>
      <c r="G247"/>
      <c r="H247" t="str">
        <f t="shared" si="3"/>
        <v xml:space="preserve"> </v>
      </c>
      <c r="I247" t="str" cm="1">
        <f t="array" ref="I247">IF(F247=0," ",IF(ISBLANK(INDEX(Initial_Component_aggregator!F:F,MATCH(F247,Initial_Component_aggregator!B:B,0))),"No change",INDEX(Initial_Component_aggregator!F:F,MATCH(F247,Initial_Component_aggregator!B:B,0))))</f>
        <v xml:space="preserve"> </v>
      </c>
      <c r="J247" t="str" cm="1">
        <f t="array" ref="J247">IF(F247=0," ",IF(ISBLANK(INDEX(Initial_Component_aggregator!H:H,MATCH(F247,Initial_Component_aggregator!B:B,0))),F247,INDEX(Initial_Component_aggregator!H:H,MATCH(F247,Initial_Component_aggregator!B:B,0))))</f>
        <v xml:space="preserve"> </v>
      </c>
      <c r="K247" t="str" cm="1">
        <f t="array" ref="K247">IF(F247=0," ",IF(ISBLANK(INDEX(Initial_Component_aggregator!H:H,MATCH(F247,Initial_Component_aggregator!B:B))),D247,INDEX(Initial_Component_aggregator!I:I,MATCH(J247,Initial_Component_aggregator!H:H))))</f>
        <v xml:space="preserve"> </v>
      </c>
      <c r="L247" t="str" cm="1">
        <f t="array" ref="L247">IF(F247=0," ",IF(ISBLANK(INDEX(Initial_Component_aggregator!H:H,MATCH(F247,Initial_Component_aggregator!B:B))),E247,INDEX(Initial_Component_aggregator!J:J,MATCH(J247,Initial_Component_aggregator!H:H))))</f>
        <v xml:space="preserve"> </v>
      </c>
      <c r="M247" t="str" cm="1">
        <f t="array" ref="M247">IF(F247=0," ",IF(ISBLANK(INDEX(Initial_Component_aggregator!H:H,MATCH(F247,Initial_Component_aggregator!B:B))),F247,INDEX(Initial_Component_aggregator!K:K,MATCH(J247,Initial_Component_aggregator!H:H))))</f>
        <v xml:space="preserve"> </v>
      </c>
    </row>
    <row r="248" spans="1:13" ht="36" customHeight="1">
      <c r="A248"/>
      <c r="B248"/>
      <c r="C248"/>
      <c r="D248"/>
      <c r="E248"/>
      <c r="F248"/>
      <c r="G248"/>
      <c r="H248" t="str">
        <f t="shared" si="3"/>
        <v xml:space="preserve"> </v>
      </c>
      <c r="I248" t="str" cm="1">
        <f t="array" ref="I248">IF(F248=0," ",IF(ISBLANK(INDEX(Initial_Component_aggregator!F:F,MATCH(F248,Initial_Component_aggregator!B:B,0))),"No change",INDEX(Initial_Component_aggregator!F:F,MATCH(F248,Initial_Component_aggregator!B:B,0))))</f>
        <v xml:space="preserve"> </v>
      </c>
      <c r="J248" t="str" cm="1">
        <f t="array" ref="J248">IF(F248=0," ",IF(ISBLANK(INDEX(Initial_Component_aggregator!H:H,MATCH(F248,Initial_Component_aggregator!B:B,0))),F248,INDEX(Initial_Component_aggregator!H:H,MATCH(F248,Initial_Component_aggregator!B:B,0))))</f>
        <v xml:space="preserve"> </v>
      </c>
      <c r="K248" t="str" cm="1">
        <f t="array" ref="K248">IF(F248=0," ",IF(ISBLANK(INDEX(Initial_Component_aggregator!H:H,MATCH(F248,Initial_Component_aggregator!B:B))),D248,INDEX(Initial_Component_aggregator!I:I,MATCH(J248,Initial_Component_aggregator!H:H))))</f>
        <v xml:space="preserve"> </v>
      </c>
      <c r="L248" t="str" cm="1">
        <f t="array" ref="L248">IF(F248=0," ",IF(ISBLANK(INDEX(Initial_Component_aggregator!H:H,MATCH(F248,Initial_Component_aggregator!B:B))),E248,INDEX(Initial_Component_aggregator!J:J,MATCH(J248,Initial_Component_aggregator!H:H))))</f>
        <v xml:space="preserve"> </v>
      </c>
      <c r="M248" t="str" cm="1">
        <f t="array" ref="M248">IF(F248=0," ",IF(ISBLANK(INDEX(Initial_Component_aggregator!H:H,MATCH(F248,Initial_Component_aggregator!B:B))),F248,INDEX(Initial_Component_aggregator!K:K,MATCH(J248,Initial_Component_aggregator!H:H))))</f>
        <v xml:space="preserve"> </v>
      </c>
    </row>
    <row r="249" spans="1:13" ht="36" customHeight="1">
      <c r="A249"/>
      <c r="B249"/>
      <c r="C249"/>
      <c r="D249"/>
      <c r="E249"/>
      <c r="F249"/>
      <c r="G249"/>
      <c r="H249" t="str">
        <f t="shared" si="3"/>
        <v xml:space="preserve"> </v>
      </c>
      <c r="I249" t="str" cm="1">
        <f t="array" ref="I249">IF(F249=0," ",IF(ISBLANK(INDEX(Initial_Component_aggregator!F:F,MATCH(F249,Initial_Component_aggregator!B:B,0))),"No change",INDEX(Initial_Component_aggregator!F:F,MATCH(F249,Initial_Component_aggregator!B:B,0))))</f>
        <v xml:space="preserve"> </v>
      </c>
      <c r="J249" t="str" cm="1">
        <f t="array" ref="J249">IF(F249=0," ",IF(ISBLANK(INDEX(Initial_Component_aggregator!H:H,MATCH(F249,Initial_Component_aggregator!B:B,0))),F249,INDEX(Initial_Component_aggregator!H:H,MATCH(F249,Initial_Component_aggregator!B:B,0))))</f>
        <v xml:space="preserve"> </v>
      </c>
      <c r="K249" t="str" cm="1">
        <f t="array" ref="K249">IF(F249=0," ",IF(ISBLANK(INDEX(Initial_Component_aggregator!H:H,MATCH(F249,Initial_Component_aggregator!B:B))),D249,INDEX(Initial_Component_aggregator!I:I,MATCH(J249,Initial_Component_aggregator!H:H))))</f>
        <v xml:space="preserve"> </v>
      </c>
      <c r="L249" t="str" cm="1">
        <f t="array" ref="L249">IF(F249=0," ",IF(ISBLANK(INDEX(Initial_Component_aggregator!H:H,MATCH(F249,Initial_Component_aggregator!B:B))),E249,INDEX(Initial_Component_aggregator!J:J,MATCH(J249,Initial_Component_aggregator!H:H))))</f>
        <v xml:space="preserve"> </v>
      </c>
      <c r="M249" t="str" cm="1">
        <f t="array" ref="M249">IF(F249=0," ",IF(ISBLANK(INDEX(Initial_Component_aggregator!H:H,MATCH(F249,Initial_Component_aggregator!B:B))),F249,INDEX(Initial_Component_aggregator!K:K,MATCH(J249,Initial_Component_aggregator!H:H))))</f>
        <v xml:space="preserve"> </v>
      </c>
    </row>
    <row r="250" spans="1:13" ht="36" customHeight="1">
      <c r="A250"/>
      <c r="B250"/>
      <c r="C250"/>
      <c r="D250"/>
      <c r="E250"/>
      <c r="F250"/>
      <c r="G250"/>
      <c r="H250" t="str">
        <f t="shared" si="3"/>
        <v xml:space="preserve"> </v>
      </c>
      <c r="I250" t="str" cm="1">
        <f t="array" ref="I250">IF(F250=0," ",IF(ISBLANK(INDEX(Initial_Component_aggregator!F:F,MATCH(F250,Initial_Component_aggregator!B:B,0))),"No change",INDEX(Initial_Component_aggregator!F:F,MATCH(F250,Initial_Component_aggregator!B:B,0))))</f>
        <v xml:space="preserve"> </v>
      </c>
      <c r="J250" t="str" cm="1">
        <f t="array" ref="J250">IF(F250=0," ",IF(ISBLANK(INDEX(Initial_Component_aggregator!H:H,MATCH(F250,Initial_Component_aggregator!B:B,0))),F250,INDEX(Initial_Component_aggregator!H:H,MATCH(F250,Initial_Component_aggregator!B:B,0))))</f>
        <v xml:space="preserve"> </v>
      </c>
      <c r="K250" t="str" cm="1">
        <f t="array" ref="K250">IF(F250=0," ",IF(ISBLANK(INDEX(Initial_Component_aggregator!H:H,MATCH(F250,Initial_Component_aggregator!B:B))),D250,INDEX(Initial_Component_aggregator!I:I,MATCH(J250,Initial_Component_aggregator!H:H))))</f>
        <v xml:space="preserve"> </v>
      </c>
      <c r="L250" t="str" cm="1">
        <f t="array" ref="L250">IF(F250=0," ",IF(ISBLANK(INDEX(Initial_Component_aggregator!H:H,MATCH(F250,Initial_Component_aggregator!B:B))),E250,INDEX(Initial_Component_aggregator!J:J,MATCH(J250,Initial_Component_aggregator!H:H))))</f>
        <v xml:space="preserve"> </v>
      </c>
      <c r="M250" t="str" cm="1">
        <f t="array" ref="M250">IF(F250=0," ",IF(ISBLANK(INDEX(Initial_Component_aggregator!H:H,MATCH(F250,Initial_Component_aggregator!B:B))),F250,INDEX(Initial_Component_aggregator!K:K,MATCH(J250,Initial_Component_aggregator!H:H))))</f>
        <v xml:space="preserve"> </v>
      </c>
    </row>
    <row r="251" spans="1:13" ht="36" customHeight="1">
      <c r="A251"/>
      <c r="B251"/>
      <c r="C251"/>
      <c r="D251"/>
      <c r="E251"/>
      <c r="F251"/>
      <c r="G251"/>
      <c r="H251" t="str">
        <f t="shared" si="3"/>
        <v xml:space="preserve"> </v>
      </c>
      <c r="I251" t="str" cm="1">
        <f t="array" ref="I251">IF(F251=0," ",IF(ISBLANK(INDEX(Initial_Component_aggregator!F:F,MATCH(F251,Initial_Component_aggregator!B:B,0))),"No change",INDEX(Initial_Component_aggregator!F:F,MATCH(F251,Initial_Component_aggregator!B:B,0))))</f>
        <v xml:space="preserve"> </v>
      </c>
      <c r="J251" t="str" cm="1">
        <f t="array" ref="J251">IF(F251=0," ",IF(ISBLANK(INDEX(Initial_Component_aggregator!H:H,MATCH(F251,Initial_Component_aggregator!B:B,0))),F251,INDEX(Initial_Component_aggregator!H:H,MATCH(F251,Initial_Component_aggregator!B:B,0))))</f>
        <v xml:space="preserve"> </v>
      </c>
      <c r="K251" t="str" cm="1">
        <f t="array" ref="K251">IF(F251=0," ",IF(ISBLANK(INDEX(Initial_Component_aggregator!H:H,MATCH(F251,Initial_Component_aggregator!B:B))),D251,INDEX(Initial_Component_aggregator!I:I,MATCH(J251,Initial_Component_aggregator!H:H))))</f>
        <v xml:space="preserve"> </v>
      </c>
      <c r="L251" t="str" cm="1">
        <f t="array" ref="L251">IF(F251=0," ",IF(ISBLANK(INDEX(Initial_Component_aggregator!H:H,MATCH(F251,Initial_Component_aggregator!B:B))),E251,INDEX(Initial_Component_aggregator!J:J,MATCH(J251,Initial_Component_aggregator!H:H))))</f>
        <v xml:space="preserve"> </v>
      </c>
      <c r="M251" t="str" cm="1">
        <f t="array" ref="M251">IF(F251=0," ",IF(ISBLANK(INDEX(Initial_Component_aggregator!H:H,MATCH(F251,Initial_Component_aggregator!B:B))),F251,INDEX(Initial_Component_aggregator!K:K,MATCH(J251,Initial_Component_aggregator!H:H))))</f>
        <v xml:space="preserve"> </v>
      </c>
    </row>
    <row r="252" spans="1:13" ht="36" customHeight="1">
      <c r="A252"/>
      <c r="B252"/>
      <c r="C252"/>
      <c r="D252"/>
      <c r="E252"/>
      <c r="F252"/>
      <c r="G252"/>
      <c r="H252" t="str">
        <f t="shared" si="3"/>
        <v xml:space="preserve"> </v>
      </c>
      <c r="I252" t="str" cm="1">
        <f t="array" ref="I252">IF(F252=0," ",IF(ISBLANK(INDEX(Initial_Component_aggregator!F:F,MATCH(F252,Initial_Component_aggregator!B:B,0))),"No change",INDEX(Initial_Component_aggregator!F:F,MATCH(F252,Initial_Component_aggregator!B:B,0))))</f>
        <v xml:space="preserve"> </v>
      </c>
      <c r="J252" t="str" cm="1">
        <f t="array" ref="J252">IF(F252=0," ",IF(ISBLANK(INDEX(Initial_Component_aggregator!H:H,MATCH(F252,Initial_Component_aggregator!B:B,0))),F252,INDEX(Initial_Component_aggregator!H:H,MATCH(F252,Initial_Component_aggregator!B:B,0))))</f>
        <v xml:space="preserve"> </v>
      </c>
      <c r="K252" t="str" cm="1">
        <f t="array" ref="K252">IF(F252=0," ",IF(ISBLANK(INDEX(Initial_Component_aggregator!H:H,MATCH(F252,Initial_Component_aggregator!B:B))),D252,INDEX(Initial_Component_aggregator!I:I,MATCH(J252,Initial_Component_aggregator!H:H))))</f>
        <v xml:space="preserve"> </v>
      </c>
      <c r="L252" t="str" cm="1">
        <f t="array" ref="L252">IF(F252=0," ",IF(ISBLANK(INDEX(Initial_Component_aggregator!H:H,MATCH(F252,Initial_Component_aggregator!B:B))),E252,INDEX(Initial_Component_aggregator!J:J,MATCH(J252,Initial_Component_aggregator!H:H))))</f>
        <v xml:space="preserve"> </v>
      </c>
      <c r="M252" t="str" cm="1">
        <f t="array" ref="M252">IF(F252=0," ",IF(ISBLANK(INDEX(Initial_Component_aggregator!H:H,MATCH(F252,Initial_Component_aggregator!B:B))),F252,INDEX(Initial_Component_aggregator!K:K,MATCH(J252,Initial_Component_aggregator!H:H))))</f>
        <v xml:space="preserve"> </v>
      </c>
    </row>
    <row r="253" spans="1:13" ht="36" customHeight="1">
      <c r="A253"/>
      <c r="B253"/>
      <c r="C253"/>
      <c r="D253"/>
      <c r="E253"/>
      <c r="F253"/>
      <c r="G253"/>
      <c r="H253" t="str">
        <f t="shared" si="3"/>
        <v xml:space="preserve"> </v>
      </c>
      <c r="I253" t="str" cm="1">
        <f t="array" ref="I253">IF(F253=0," ",IF(ISBLANK(INDEX(Initial_Component_aggregator!F:F,MATCH(F253,Initial_Component_aggregator!B:B,0))),"No change",INDEX(Initial_Component_aggregator!F:F,MATCH(F253,Initial_Component_aggregator!B:B,0))))</f>
        <v xml:space="preserve"> </v>
      </c>
      <c r="J253" t="str" cm="1">
        <f t="array" ref="J253">IF(F253=0," ",IF(ISBLANK(INDEX(Initial_Component_aggregator!H:H,MATCH(F253,Initial_Component_aggregator!B:B,0))),F253,INDEX(Initial_Component_aggregator!H:H,MATCH(F253,Initial_Component_aggregator!B:B,0))))</f>
        <v xml:space="preserve"> </v>
      </c>
      <c r="K253" t="str" cm="1">
        <f t="array" ref="K253">IF(F253=0," ",IF(ISBLANK(INDEX(Initial_Component_aggregator!H:H,MATCH(F253,Initial_Component_aggregator!B:B))),D253,INDEX(Initial_Component_aggregator!I:I,MATCH(J253,Initial_Component_aggregator!H:H))))</f>
        <v xml:space="preserve"> </v>
      </c>
      <c r="L253" t="str" cm="1">
        <f t="array" ref="L253">IF(F253=0," ",IF(ISBLANK(INDEX(Initial_Component_aggregator!H:H,MATCH(F253,Initial_Component_aggregator!B:B))),E253,INDEX(Initial_Component_aggregator!J:J,MATCH(J253,Initial_Component_aggregator!H:H))))</f>
        <v xml:space="preserve"> </v>
      </c>
      <c r="M253" t="str" cm="1">
        <f t="array" ref="M253">IF(F253=0," ",IF(ISBLANK(INDEX(Initial_Component_aggregator!H:H,MATCH(F253,Initial_Component_aggregator!B:B))),F253,INDEX(Initial_Component_aggregator!K:K,MATCH(J253,Initial_Component_aggregator!H:H))))</f>
        <v xml:space="preserve"> </v>
      </c>
    </row>
    <row r="254" spans="1:13" ht="36" customHeight="1">
      <c r="A254"/>
      <c r="B254"/>
      <c r="C254"/>
      <c r="D254"/>
      <c r="E254"/>
      <c r="F254"/>
      <c r="G254"/>
      <c r="H254" t="str">
        <f t="shared" si="3"/>
        <v xml:space="preserve"> </v>
      </c>
      <c r="I254" t="str" cm="1">
        <f t="array" ref="I254">IF(F254=0," ",IF(ISBLANK(INDEX(Initial_Component_aggregator!F:F,MATCH(F254,Initial_Component_aggregator!B:B,0))),"No change",INDEX(Initial_Component_aggregator!F:F,MATCH(F254,Initial_Component_aggregator!B:B,0))))</f>
        <v xml:space="preserve"> </v>
      </c>
      <c r="J254" t="str" cm="1">
        <f t="array" ref="J254">IF(F254=0," ",IF(ISBLANK(INDEX(Initial_Component_aggregator!H:H,MATCH(F254,Initial_Component_aggregator!B:B,0))),F254,INDEX(Initial_Component_aggregator!H:H,MATCH(F254,Initial_Component_aggregator!B:B,0))))</f>
        <v xml:space="preserve"> </v>
      </c>
      <c r="K254" t="str" cm="1">
        <f t="array" ref="K254">IF(F254=0," ",IF(ISBLANK(INDEX(Initial_Component_aggregator!H:H,MATCH(F254,Initial_Component_aggregator!B:B))),D254,INDEX(Initial_Component_aggregator!I:I,MATCH(J254,Initial_Component_aggregator!H:H))))</f>
        <v xml:space="preserve"> </v>
      </c>
      <c r="L254" t="str" cm="1">
        <f t="array" ref="L254">IF(F254=0," ",IF(ISBLANK(INDEX(Initial_Component_aggregator!H:H,MATCH(F254,Initial_Component_aggregator!B:B))),E254,INDEX(Initial_Component_aggregator!J:J,MATCH(J254,Initial_Component_aggregator!H:H))))</f>
        <v xml:space="preserve"> </v>
      </c>
      <c r="M254" t="str" cm="1">
        <f t="array" ref="M254">IF(F254=0," ",IF(ISBLANK(INDEX(Initial_Component_aggregator!H:H,MATCH(F254,Initial_Component_aggregator!B:B))),F254,INDEX(Initial_Component_aggregator!K:K,MATCH(J254,Initial_Component_aggregator!H:H))))</f>
        <v xml:space="preserve"> </v>
      </c>
    </row>
    <row r="255" spans="1:13" ht="36" customHeight="1">
      <c r="A255"/>
      <c r="B255"/>
      <c r="C255"/>
      <c r="D255"/>
      <c r="E255"/>
      <c r="F255"/>
      <c r="G255"/>
      <c r="H255" t="str">
        <f t="shared" si="3"/>
        <v xml:space="preserve"> </v>
      </c>
      <c r="I255" t="str" cm="1">
        <f t="array" ref="I255">IF(F255=0," ",IF(ISBLANK(INDEX(Initial_Component_aggregator!F:F,MATCH(F255,Initial_Component_aggregator!B:B,0))),"No change",INDEX(Initial_Component_aggregator!F:F,MATCH(F255,Initial_Component_aggregator!B:B,0))))</f>
        <v xml:space="preserve"> </v>
      </c>
      <c r="J255" t="str" cm="1">
        <f t="array" ref="J255">IF(F255=0," ",IF(ISBLANK(INDEX(Initial_Component_aggregator!H:H,MATCH(F255,Initial_Component_aggregator!B:B,0))),F255,INDEX(Initial_Component_aggregator!H:H,MATCH(F255,Initial_Component_aggregator!B:B,0))))</f>
        <v xml:space="preserve"> </v>
      </c>
      <c r="K255" t="str" cm="1">
        <f t="array" ref="K255">IF(F255=0," ",IF(ISBLANK(INDEX(Initial_Component_aggregator!H:H,MATCH(F255,Initial_Component_aggregator!B:B))),D255,INDEX(Initial_Component_aggregator!I:I,MATCH(J255,Initial_Component_aggregator!H:H))))</f>
        <v xml:space="preserve"> </v>
      </c>
      <c r="L255" t="str" cm="1">
        <f t="array" ref="L255">IF(F255=0," ",IF(ISBLANK(INDEX(Initial_Component_aggregator!H:H,MATCH(F255,Initial_Component_aggregator!B:B))),E255,INDEX(Initial_Component_aggregator!J:J,MATCH(J255,Initial_Component_aggregator!H:H))))</f>
        <v xml:space="preserve"> </v>
      </c>
      <c r="M255" t="str" cm="1">
        <f t="array" ref="M255">IF(F255=0," ",IF(ISBLANK(INDEX(Initial_Component_aggregator!H:H,MATCH(F255,Initial_Component_aggregator!B:B))),F255,INDEX(Initial_Component_aggregator!K:K,MATCH(J255,Initial_Component_aggregator!H:H))))</f>
        <v xml:space="preserve"> </v>
      </c>
    </row>
    <row r="256" spans="1:13" ht="36" customHeight="1">
      <c r="A256"/>
      <c r="B256"/>
      <c r="C256"/>
      <c r="D256"/>
      <c r="E256"/>
      <c r="F256"/>
      <c r="G256"/>
      <c r="H256" t="str">
        <f t="shared" si="3"/>
        <v xml:space="preserve"> </v>
      </c>
      <c r="I256" t="str" cm="1">
        <f t="array" ref="I256">IF(F256=0," ",IF(ISBLANK(INDEX(Initial_Component_aggregator!F:F,MATCH(F256,Initial_Component_aggregator!B:B,0))),"No change",INDEX(Initial_Component_aggregator!F:F,MATCH(F256,Initial_Component_aggregator!B:B,0))))</f>
        <v xml:space="preserve"> </v>
      </c>
      <c r="J256" t="str" cm="1">
        <f t="array" ref="J256">IF(F256=0," ",IF(ISBLANK(INDEX(Initial_Component_aggregator!H:H,MATCH(F256,Initial_Component_aggregator!B:B,0))),F256,INDEX(Initial_Component_aggregator!H:H,MATCH(F256,Initial_Component_aggregator!B:B,0))))</f>
        <v xml:space="preserve"> </v>
      </c>
      <c r="K256" t="str" cm="1">
        <f t="array" ref="K256">IF(F256=0," ",IF(ISBLANK(INDEX(Initial_Component_aggregator!H:H,MATCH(F256,Initial_Component_aggregator!B:B))),D256,INDEX(Initial_Component_aggregator!I:I,MATCH(J256,Initial_Component_aggregator!H:H))))</f>
        <v xml:space="preserve"> </v>
      </c>
      <c r="L256" t="str" cm="1">
        <f t="array" ref="L256">IF(F256=0," ",IF(ISBLANK(INDEX(Initial_Component_aggregator!H:H,MATCH(F256,Initial_Component_aggregator!B:B))),E256,INDEX(Initial_Component_aggregator!J:J,MATCH(J256,Initial_Component_aggregator!H:H))))</f>
        <v xml:space="preserve"> </v>
      </c>
      <c r="M256" t="str" cm="1">
        <f t="array" ref="M256">IF(F256=0," ",IF(ISBLANK(INDEX(Initial_Component_aggregator!H:H,MATCH(F256,Initial_Component_aggregator!B:B))),F256,INDEX(Initial_Component_aggregator!K:K,MATCH(J256,Initial_Component_aggregator!H:H))))</f>
        <v xml:space="preserve"> </v>
      </c>
    </row>
    <row r="257" spans="1:13" ht="36" customHeight="1">
      <c r="A257"/>
      <c r="B257"/>
      <c r="C257"/>
      <c r="D257"/>
      <c r="E257"/>
      <c r="F257"/>
      <c r="G257"/>
      <c r="H257" t="str">
        <f t="shared" si="3"/>
        <v xml:space="preserve"> </v>
      </c>
      <c r="I257" t="str" cm="1">
        <f t="array" ref="I257">IF(F257=0," ",IF(ISBLANK(INDEX(Initial_Component_aggregator!F:F,MATCH(F257,Initial_Component_aggregator!B:B,0))),"No change",INDEX(Initial_Component_aggregator!F:F,MATCH(F257,Initial_Component_aggregator!B:B,0))))</f>
        <v xml:space="preserve"> </v>
      </c>
      <c r="J257" t="str" cm="1">
        <f t="array" ref="J257">IF(F257=0," ",IF(ISBLANK(INDEX(Initial_Component_aggregator!H:H,MATCH(F257,Initial_Component_aggregator!B:B,0))),F257,INDEX(Initial_Component_aggregator!H:H,MATCH(F257,Initial_Component_aggregator!B:B,0))))</f>
        <v xml:space="preserve"> </v>
      </c>
      <c r="K257" t="str" cm="1">
        <f t="array" ref="K257">IF(F257=0," ",IF(ISBLANK(INDEX(Initial_Component_aggregator!H:H,MATCH(F257,Initial_Component_aggregator!B:B))),D257,INDEX(Initial_Component_aggregator!I:I,MATCH(J257,Initial_Component_aggregator!H:H))))</f>
        <v xml:space="preserve"> </v>
      </c>
      <c r="L257" t="str" cm="1">
        <f t="array" ref="L257">IF(F257=0," ",IF(ISBLANK(INDEX(Initial_Component_aggregator!H:H,MATCH(F257,Initial_Component_aggregator!B:B))),E257,INDEX(Initial_Component_aggregator!J:J,MATCH(J257,Initial_Component_aggregator!H:H))))</f>
        <v xml:space="preserve"> </v>
      </c>
      <c r="M257" t="str" cm="1">
        <f t="array" ref="M257">IF(F257=0," ",IF(ISBLANK(INDEX(Initial_Component_aggregator!H:H,MATCH(F257,Initial_Component_aggregator!B:B))),F257,INDEX(Initial_Component_aggregator!K:K,MATCH(J257,Initial_Component_aggregator!H:H))))</f>
        <v xml:space="preserve"> </v>
      </c>
    </row>
    <row r="258" spans="1:13" ht="36" customHeight="1">
      <c r="A258"/>
      <c r="B258"/>
      <c r="C258"/>
      <c r="D258"/>
      <c r="E258"/>
      <c r="F258"/>
      <c r="G258"/>
      <c r="H258" t="str">
        <f t="shared" si="3"/>
        <v xml:space="preserve"> </v>
      </c>
      <c r="I258" t="str" cm="1">
        <f t="array" ref="I258">IF(F258=0," ",IF(ISBLANK(INDEX(Initial_Component_aggregator!F:F,MATCH(F258,Initial_Component_aggregator!B:B,0))),"No change",INDEX(Initial_Component_aggregator!F:F,MATCH(F258,Initial_Component_aggregator!B:B,0))))</f>
        <v xml:space="preserve"> </v>
      </c>
      <c r="J258" t="str" cm="1">
        <f t="array" ref="J258">IF(F258=0," ",IF(ISBLANK(INDEX(Initial_Component_aggregator!H:H,MATCH(F258,Initial_Component_aggregator!B:B,0))),F258,INDEX(Initial_Component_aggregator!H:H,MATCH(F258,Initial_Component_aggregator!B:B,0))))</f>
        <v xml:space="preserve"> </v>
      </c>
      <c r="K258" t="str" cm="1">
        <f t="array" ref="K258">IF(F258=0," ",IF(ISBLANK(INDEX(Initial_Component_aggregator!H:H,MATCH(F258,Initial_Component_aggregator!B:B))),D258,INDEX(Initial_Component_aggregator!I:I,MATCH(J258,Initial_Component_aggregator!H:H))))</f>
        <v xml:space="preserve"> </v>
      </c>
      <c r="L258" t="str" cm="1">
        <f t="array" ref="L258">IF(F258=0," ",IF(ISBLANK(INDEX(Initial_Component_aggregator!H:H,MATCH(F258,Initial_Component_aggregator!B:B))),E258,INDEX(Initial_Component_aggregator!J:J,MATCH(J258,Initial_Component_aggregator!H:H))))</f>
        <v xml:space="preserve"> </v>
      </c>
      <c r="M258" t="str" cm="1">
        <f t="array" ref="M258">IF(F258=0," ",IF(ISBLANK(INDEX(Initial_Component_aggregator!H:H,MATCH(F258,Initial_Component_aggregator!B:B))),F258,INDEX(Initial_Component_aggregator!K:K,MATCH(J258,Initial_Component_aggregator!H:H))))</f>
        <v xml:space="preserve"> </v>
      </c>
    </row>
    <row r="259" spans="1:13" ht="36" customHeight="1">
      <c r="A259"/>
      <c r="B259"/>
      <c r="C259"/>
      <c r="D259"/>
      <c r="E259"/>
      <c r="F259"/>
      <c r="G259"/>
      <c r="H259" t="str">
        <f t="shared" ref="H259:H322" si="4">IF(F259=0," ",(AND(IF(J259=F259,0,1),F259&lt;&gt;0)))</f>
        <v xml:space="preserve"> </v>
      </c>
      <c r="I259" t="str" cm="1">
        <f t="array" ref="I259">IF(F259=0," ",IF(ISBLANK(INDEX(Initial_Component_aggregator!F:F,MATCH(F259,Initial_Component_aggregator!B:B,0))),"No change",INDEX(Initial_Component_aggregator!F:F,MATCH(F259,Initial_Component_aggregator!B:B,0))))</f>
        <v xml:space="preserve"> </v>
      </c>
      <c r="J259" t="str" cm="1">
        <f t="array" ref="J259">IF(F259=0," ",IF(ISBLANK(INDEX(Initial_Component_aggregator!H:H,MATCH(F259,Initial_Component_aggregator!B:B,0))),F259,INDEX(Initial_Component_aggregator!H:H,MATCH(F259,Initial_Component_aggregator!B:B,0))))</f>
        <v xml:space="preserve"> </v>
      </c>
      <c r="K259" t="str" cm="1">
        <f t="array" ref="K259">IF(F259=0," ",IF(ISBLANK(INDEX(Initial_Component_aggregator!H:H,MATCH(F259,Initial_Component_aggregator!B:B))),D259,INDEX(Initial_Component_aggregator!I:I,MATCH(J259,Initial_Component_aggregator!H:H))))</f>
        <v xml:space="preserve"> </v>
      </c>
      <c r="L259" t="str" cm="1">
        <f t="array" ref="L259">IF(F259=0," ",IF(ISBLANK(INDEX(Initial_Component_aggregator!H:H,MATCH(F259,Initial_Component_aggregator!B:B))),E259,INDEX(Initial_Component_aggregator!J:J,MATCH(J259,Initial_Component_aggregator!H:H))))</f>
        <v xml:space="preserve"> </v>
      </c>
      <c r="M259" t="str" cm="1">
        <f t="array" ref="M259">IF(F259=0," ",IF(ISBLANK(INDEX(Initial_Component_aggregator!H:H,MATCH(F259,Initial_Component_aggregator!B:B))),F259,INDEX(Initial_Component_aggregator!K:K,MATCH(J259,Initial_Component_aggregator!H:H))))</f>
        <v xml:space="preserve"> </v>
      </c>
    </row>
    <row r="260" spans="1:13" ht="36" customHeight="1">
      <c r="A260"/>
      <c r="B260"/>
      <c r="C260"/>
      <c r="D260"/>
      <c r="E260"/>
      <c r="F260"/>
      <c r="G260"/>
      <c r="H260" t="str">
        <f t="shared" si="4"/>
        <v xml:space="preserve"> </v>
      </c>
      <c r="I260" t="str" cm="1">
        <f t="array" ref="I260">IF(F260=0," ",IF(ISBLANK(INDEX(Initial_Component_aggregator!F:F,MATCH(F260,Initial_Component_aggregator!B:B,0))),"No change",INDEX(Initial_Component_aggregator!F:F,MATCH(F260,Initial_Component_aggregator!B:B,0))))</f>
        <v xml:space="preserve"> </v>
      </c>
      <c r="J260" t="str" cm="1">
        <f t="array" ref="J260">IF(F260=0," ",IF(ISBLANK(INDEX(Initial_Component_aggregator!H:H,MATCH(F260,Initial_Component_aggregator!B:B,0))),F260,INDEX(Initial_Component_aggregator!H:H,MATCH(F260,Initial_Component_aggregator!B:B,0))))</f>
        <v xml:space="preserve"> </v>
      </c>
      <c r="K260" t="str" cm="1">
        <f t="array" ref="K260">IF(F260=0," ",IF(ISBLANK(INDEX(Initial_Component_aggregator!H:H,MATCH(F260,Initial_Component_aggregator!B:B))),D260,INDEX(Initial_Component_aggregator!I:I,MATCH(J260,Initial_Component_aggregator!H:H))))</f>
        <v xml:space="preserve"> </v>
      </c>
      <c r="L260" t="str" cm="1">
        <f t="array" ref="L260">IF(F260=0," ",IF(ISBLANK(INDEX(Initial_Component_aggregator!H:H,MATCH(F260,Initial_Component_aggregator!B:B))),E260,INDEX(Initial_Component_aggregator!J:J,MATCH(J260,Initial_Component_aggregator!H:H))))</f>
        <v xml:space="preserve"> </v>
      </c>
      <c r="M260" t="str" cm="1">
        <f t="array" ref="M260">IF(F260=0," ",IF(ISBLANK(INDEX(Initial_Component_aggregator!H:H,MATCH(F260,Initial_Component_aggregator!B:B))),F260,INDEX(Initial_Component_aggregator!K:K,MATCH(J260,Initial_Component_aggregator!H:H))))</f>
        <v xml:space="preserve"> </v>
      </c>
    </row>
    <row r="261" spans="1:13" ht="36" customHeight="1">
      <c r="A261"/>
      <c r="B261"/>
      <c r="C261"/>
      <c r="D261"/>
      <c r="E261"/>
      <c r="F261"/>
      <c r="G261"/>
      <c r="H261" t="str">
        <f t="shared" si="4"/>
        <v xml:space="preserve"> </v>
      </c>
      <c r="I261" t="str" cm="1">
        <f t="array" ref="I261">IF(F261=0," ",IF(ISBLANK(INDEX(Initial_Component_aggregator!F:F,MATCH(F261,Initial_Component_aggregator!B:B,0))),"No change",INDEX(Initial_Component_aggregator!F:F,MATCH(F261,Initial_Component_aggregator!B:B,0))))</f>
        <v xml:space="preserve"> </v>
      </c>
      <c r="J261" t="str" cm="1">
        <f t="array" ref="J261">IF(F261=0," ",IF(ISBLANK(INDEX(Initial_Component_aggregator!H:H,MATCH(F261,Initial_Component_aggregator!B:B,0))),F261,INDEX(Initial_Component_aggregator!H:H,MATCH(F261,Initial_Component_aggregator!B:B,0))))</f>
        <v xml:space="preserve"> </v>
      </c>
      <c r="K261" t="str" cm="1">
        <f t="array" ref="K261">IF(F261=0," ",IF(ISBLANK(INDEX(Initial_Component_aggregator!H:H,MATCH(F261,Initial_Component_aggregator!B:B))),D261,INDEX(Initial_Component_aggregator!I:I,MATCH(J261,Initial_Component_aggregator!H:H))))</f>
        <v xml:space="preserve"> </v>
      </c>
      <c r="L261" t="str" cm="1">
        <f t="array" ref="L261">IF(F261=0," ",IF(ISBLANK(INDEX(Initial_Component_aggregator!H:H,MATCH(F261,Initial_Component_aggregator!B:B))),E261,INDEX(Initial_Component_aggregator!J:J,MATCH(J261,Initial_Component_aggregator!H:H))))</f>
        <v xml:space="preserve"> </v>
      </c>
      <c r="M261" t="str" cm="1">
        <f t="array" ref="M261">IF(F261=0," ",IF(ISBLANK(INDEX(Initial_Component_aggregator!H:H,MATCH(F261,Initial_Component_aggregator!B:B))),F261,INDEX(Initial_Component_aggregator!K:K,MATCH(J261,Initial_Component_aggregator!H:H))))</f>
        <v xml:space="preserve"> </v>
      </c>
    </row>
    <row r="262" spans="1:13" ht="36" customHeight="1">
      <c r="A262"/>
      <c r="B262"/>
      <c r="C262"/>
      <c r="D262"/>
      <c r="E262"/>
      <c r="F262"/>
      <c r="G262"/>
      <c r="H262" t="str">
        <f t="shared" si="4"/>
        <v xml:space="preserve"> </v>
      </c>
      <c r="I262" t="str" cm="1">
        <f t="array" ref="I262">IF(F262=0," ",IF(ISBLANK(INDEX(Initial_Component_aggregator!F:F,MATCH(F262,Initial_Component_aggregator!B:B,0))),"No change",INDEX(Initial_Component_aggregator!F:F,MATCH(F262,Initial_Component_aggregator!B:B,0))))</f>
        <v xml:space="preserve"> </v>
      </c>
      <c r="J262" t="str" cm="1">
        <f t="array" ref="J262">IF(F262=0," ",IF(ISBLANK(INDEX(Initial_Component_aggregator!H:H,MATCH(F262,Initial_Component_aggregator!B:B,0))),F262,INDEX(Initial_Component_aggregator!H:H,MATCH(F262,Initial_Component_aggregator!B:B,0))))</f>
        <v xml:space="preserve"> </v>
      </c>
      <c r="K262" t="str" cm="1">
        <f t="array" ref="K262">IF(F262=0," ",IF(ISBLANK(INDEX(Initial_Component_aggregator!H:H,MATCH(F262,Initial_Component_aggregator!B:B))),D262,INDEX(Initial_Component_aggregator!I:I,MATCH(J262,Initial_Component_aggregator!H:H))))</f>
        <v xml:space="preserve"> </v>
      </c>
      <c r="L262" t="str" cm="1">
        <f t="array" ref="L262">IF(F262=0," ",IF(ISBLANK(INDEX(Initial_Component_aggregator!H:H,MATCH(F262,Initial_Component_aggregator!B:B))),E262,INDEX(Initial_Component_aggregator!J:J,MATCH(J262,Initial_Component_aggregator!H:H))))</f>
        <v xml:space="preserve"> </v>
      </c>
      <c r="M262" t="str" cm="1">
        <f t="array" ref="M262">IF(F262=0," ",IF(ISBLANK(INDEX(Initial_Component_aggregator!H:H,MATCH(F262,Initial_Component_aggregator!B:B))),F262,INDEX(Initial_Component_aggregator!K:K,MATCH(J262,Initial_Component_aggregator!H:H))))</f>
        <v xml:space="preserve"> </v>
      </c>
    </row>
    <row r="263" spans="1:13" ht="36" customHeight="1">
      <c r="A263"/>
      <c r="B263"/>
      <c r="C263"/>
      <c r="D263"/>
      <c r="E263"/>
      <c r="F263"/>
      <c r="G263"/>
      <c r="H263" t="str">
        <f t="shared" si="4"/>
        <v xml:space="preserve"> </v>
      </c>
      <c r="I263" t="str" cm="1">
        <f t="array" ref="I263">IF(F263=0," ",IF(ISBLANK(INDEX(Initial_Component_aggregator!F:F,MATCH(F263,Initial_Component_aggregator!B:B,0))),"No change",INDEX(Initial_Component_aggregator!F:F,MATCH(F263,Initial_Component_aggregator!B:B,0))))</f>
        <v xml:space="preserve"> </v>
      </c>
      <c r="J263" t="str" cm="1">
        <f t="array" ref="J263">IF(F263=0," ",IF(ISBLANK(INDEX(Initial_Component_aggregator!H:H,MATCH(F263,Initial_Component_aggregator!B:B,0))),F263,INDEX(Initial_Component_aggregator!H:H,MATCH(F263,Initial_Component_aggregator!B:B,0))))</f>
        <v xml:space="preserve"> </v>
      </c>
      <c r="K263" t="str" cm="1">
        <f t="array" ref="K263">IF(F263=0," ",IF(ISBLANK(INDEX(Initial_Component_aggregator!H:H,MATCH(F263,Initial_Component_aggregator!B:B))),D263,INDEX(Initial_Component_aggregator!I:I,MATCH(J263,Initial_Component_aggregator!H:H))))</f>
        <v xml:space="preserve"> </v>
      </c>
      <c r="L263" t="str" cm="1">
        <f t="array" ref="L263">IF(F263=0," ",IF(ISBLANK(INDEX(Initial_Component_aggregator!H:H,MATCH(F263,Initial_Component_aggregator!B:B))),E263,INDEX(Initial_Component_aggregator!J:J,MATCH(J263,Initial_Component_aggregator!H:H))))</f>
        <v xml:space="preserve"> </v>
      </c>
      <c r="M263" t="str" cm="1">
        <f t="array" ref="M263">IF(F263=0," ",IF(ISBLANK(INDEX(Initial_Component_aggregator!H:H,MATCH(F263,Initial_Component_aggregator!B:B))),F263,INDEX(Initial_Component_aggregator!K:K,MATCH(J263,Initial_Component_aggregator!H:H))))</f>
        <v xml:space="preserve"> </v>
      </c>
    </row>
    <row r="264" spans="1:13" ht="36" customHeight="1">
      <c r="A264"/>
      <c r="B264"/>
      <c r="C264"/>
      <c r="D264"/>
      <c r="E264"/>
      <c r="F264"/>
      <c r="G264"/>
      <c r="H264" t="str">
        <f t="shared" si="4"/>
        <v xml:space="preserve"> </v>
      </c>
      <c r="I264" t="str" cm="1">
        <f t="array" ref="I264">IF(F264=0," ",IF(ISBLANK(INDEX(Initial_Component_aggregator!F:F,MATCH(F264,Initial_Component_aggregator!B:B,0))),"No change",INDEX(Initial_Component_aggregator!F:F,MATCH(F264,Initial_Component_aggregator!B:B,0))))</f>
        <v xml:space="preserve"> </v>
      </c>
      <c r="J264" t="str" cm="1">
        <f t="array" ref="J264">IF(F264=0," ",IF(ISBLANK(INDEX(Initial_Component_aggregator!H:H,MATCH(F264,Initial_Component_aggregator!B:B,0))),F264,INDEX(Initial_Component_aggregator!H:H,MATCH(F264,Initial_Component_aggregator!B:B,0))))</f>
        <v xml:space="preserve"> </v>
      </c>
      <c r="K264" t="str" cm="1">
        <f t="array" ref="K264">IF(F264=0," ",IF(ISBLANK(INDEX(Initial_Component_aggregator!H:H,MATCH(F264,Initial_Component_aggregator!B:B))),D264,INDEX(Initial_Component_aggregator!I:I,MATCH(J264,Initial_Component_aggregator!H:H))))</f>
        <v xml:space="preserve"> </v>
      </c>
      <c r="L264" t="str" cm="1">
        <f t="array" ref="L264">IF(F264=0," ",IF(ISBLANK(INDEX(Initial_Component_aggregator!H:H,MATCH(F264,Initial_Component_aggregator!B:B))),E264,INDEX(Initial_Component_aggregator!J:J,MATCH(J264,Initial_Component_aggregator!H:H))))</f>
        <v xml:space="preserve"> </v>
      </c>
      <c r="M264" t="str" cm="1">
        <f t="array" ref="M264">IF(F264=0," ",IF(ISBLANK(INDEX(Initial_Component_aggregator!H:H,MATCH(F264,Initial_Component_aggregator!B:B))),F264,INDEX(Initial_Component_aggregator!K:K,MATCH(J264,Initial_Component_aggregator!H:H))))</f>
        <v xml:space="preserve"> </v>
      </c>
    </row>
    <row r="265" spans="1:13" ht="36" customHeight="1">
      <c r="A265"/>
      <c r="B265"/>
      <c r="C265"/>
      <c r="D265"/>
      <c r="E265"/>
      <c r="F265"/>
      <c r="G265"/>
      <c r="H265" t="str">
        <f t="shared" si="4"/>
        <v xml:space="preserve"> </v>
      </c>
      <c r="I265" t="str" cm="1">
        <f t="array" ref="I265">IF(F265=0," ",IF(ISBLANK(INDEX(Initial_Component_aggregator!F:F,MATCH(F265,Initial_Component_aggregator!B:B,0))),"No change",INDEX(Initial_Component_aggregator!F:F,MATCH(F265,Initial_Component_aggregator!B:B,0))))</f>
        <v xml:space="preserve"> </v>
      </c>
      <c r="J265" t="str" cm="1">
        <f t="array" ref="J265">IF(F265=0," ",IF(ISBLANK(INDEX(Initial_Component_aggregator!H:H,MATCH(F265,Initial_Component_aggregator!B:B,0))),F265,INDEX(Initial_Component_aggregator!H:H,MATCH(F265,Initial_Component_aggregator!B:B,0))))</f>
        <v xml:space="preserve"> </v>
      </c>
      <c r="K265" t="str" cm="1">
        <f t="array" ref="K265">IF(F265=0," ",IF(ISBLANK(INDEX(Initial_Component_aggregator!H:H,MATCH(F265,Initial_Component_aggregator!B:B))),D265,INDEX(Initial_Component_aggregator!I:I,MATCH(J265,Initial_Component_aggregator!H:H))))</f>
        <v xml:space="preserve"> </v>
      </c>
      <c r="L265" t="str" cm="1">
        <f t="array" ref="L265">IF(F265=0," ",IF(ISBLANK(INDEX(Initial_Component_aggregator!H:H,MATCH(F265,Initial_Component_aggregator!B:B))),E265,INDEX(Initial_Component_aggregator!J:J,MATCH(J265,Initial_Component_aggregator!H:H))))</f>
        <v xml:space="preserve"> </v>
      </c>
      <c r="M265" t="str" cm="1">
        <f t="array" ref="M265">IF(F265=0," ",IF(ISBLANK(INDEX(Initial_Component_aggregator!H:H,MATCH(F265,Initial_Component_aggregator!B:B))),F265,INDEX(Initial_Component_aggregator!K:K,MATCH(J265,Initial_Component_aggregator!H:H))))</f>
        <v xml:space="preserve"> </v>
      </c>
    </row>
    <row r="266" spans="1:13" ht="36" customHeight="1">
      <c r="A266"/>
      <c r="B266"/>
      <c r="C266"/>
      <c r="D266"/>
      <c r="E266"/>
      <c r="F266"/>
      <c r="G266"/>
      <c r="H266" t="str">
        <f t="shared" si="4"/>
        <v xml:space="preserve"> </v>
      </c>
      <c r="I266" t="str" cm="1">
        <f t="array" ref="I266">IF(F266=0," ",IF(ISBLANK(INDEX(Initial_Component_aggregator!F:F,MATCH(F266,Initial_Component_aggregator!B:B,0))),"No change",INDEX(Initial_Component_aggregator!F:F,MATCH(F266,Initial_Component_aggregator!B:B,0))))</f>
        <v xml:space="preserve"> </v>
      </c>
      <c r="J266" t="str" cm="1">
        <f t="array" ref="J266">IF(F266=0," ",IF(ISBLANK(INDEX(Initial_Component_aggregator!H:H,MATCH(F266,Initial_Component_aggregator!B:B,0))),F266,INDEX(Initial_Component_aggregator!H:H,MATCH(F266,Initial_Component_aggregator!B:B,0))))</f>
        <v xml:space="preserve"> </v>
      </c>
      <c r="K266" t="str" cm="1">
        <f t="array" ref="K266">IF(F266=0," ",IF(ISBLANK(INDEX(Initial_Component_aggregator!H:H,MATCH(F266,Initial_Component_aggregator!B:B))),D266,INDEX(Initial_Component_aggregator!I:I,MATCH(J266,Initial_Component_aggregator!H:H))))</f>
        <v xml:space="preserve"> </v>
      </c>
      <c r="L266" t="str" cm="1">
        <f t="array" ref="L266">IF(F266=0," ",IF(ISBLANK(INDEX(Initial_Component_aggregator!H:H,MATCH(F266,Initial_Component_aggregator!B:B))),E266,INDEX(Initial_Component_aggregator!J:J,MATCH(J266,Initial_Component_aggregator!H:H))))</f>
        <v xml:space="preserve"> </v>
      </c>
      <c r="M266" t="str" cm="1">
        <f t="array" ref="M266">IF(F266=0," ",IF(ISBLANK(INDEX(Initial_Component_aggregator!H:H,MATCH(F266,Initial_Component_aggregator!B:B))),F266,INDEX(Initial_Component_aggregator!K:K,MATCH(J266,Initial_Component_aggregator!H:H))))</f>
        <v xml:space="preserve"> </v>
      </c>
    </row>
    <row r="267" spans="1:13" ht="36" customHeight="1">
      <c r="A267"/>
      <c r="B267"/>
      <c r="C267"/>
      <c r="D267"/>
      <c r="E267"/>
      <c r="F267"/>
      <c r="G267"/>
      <c r="H267" t="str">
        <f t="shared" si="4"/>
        <v xml:space="preserve"> </v>
      </c>
      <c r="I267" t="str" cm="1">
        <f t="array" ref="I267">IF(F267=0," ",IF(ISBLANK(INDEX(Initial_Component_aggregator!F:F,MATCH(F267,Initial_Component_aggregator!B:B,0))),"No change",INDEX(Initial_Component_aggregator!F:F,MATCH(F267,Initial_Component_aggregator!B:B,0))))</f>
        <v xml:space="preserve"> </v>
      </c>
      <c r="J267" t="str" cm="1">
        <f t="array" ref="J267">IF(F267=0," ",IF(ISBLANK(INDEX(Initial_Component_aggregator!H:H,MATCH(F267,Initial_Component_aggregator!B:B,0))),F267,INDEX(Initial_Component_aggregator!H:H,MATCH(F267,Initial_Component_aggregator!B:B,0))))</f>
        <v xml:space="preserve"> </v>
      </c>
      <c r="K267" t="str" cm="1">
        <f t="array" ref="K267">IF(F267=0," ",IF(ISBLANK(INDEX(Initial_Component_aggregator!H:H,MATCH(F267,Initial_Component_aggregator!B:B))),D267,INDEX(Initial_Component_aggregator!I:I,MATCH(J267,Initial_Component_aggregator!H:H))))</f>
        <v xml:space="preserve"> </v>
      </c>
      <c r="L267" t="str" cm="1">
        <f t="array" ref="L267">IF(F267=0," ",IF(ISBLANK(INDEX(Initial_Component_aggregator!H:H,MATCH(F267,Initial_Component_aggregator!B:B))),E267,INDEX(Initial_Component_aggregator!J:J,MATCH(J267,Initial_Component_aggregator!H:H))))</f>
        <v xml:space="preserve"> </v>
      </c>
      <c r="M267" t="str" cm="1">
        <f t="array" ref="M267">IF(F267=0," ",IF(ISBLANK(INDEX(Initial_Component_aggregator!H:H,MATCH(F267,Initial_Component_aggregator!B:B))),F267,INDEX(Initial_Component_aggregator!K:K,MATCH(J267,Initial_Component_aggregator!H:H))))</f>
        <v xml:space="preserve"> </v>
      </c>
    </row>
    <row r="268" spans="1:13" ht="36" customHeight="1">
      <c r="A268"/>
      <c r="B268"/>
      <c r="C268"/>
      <c r="D268"/>
      <c r="E268"/>
      <c r="F268"/>
      <c r="G268"/>
      <c r="H268" t="str">
        <f t="shared" si="4"/>
        <v xml:space="preserve"> </v>
      </c>
      <c r="I268" t="str" cm="1">
        <f t="array" ref="I268">IF(F268=0," ",IF(ISBLANK(INDEX(Initial_Component_aggregator!F:F,MATCH(F268,Initial_Component_aggregator!B:B,0))),"No change",INDEX(Initial_Component_aggregator!F:F,MATCH(F268,Initial_Component_aggregator!B:B,0))))</f>
        <v xml:space="preserve"> </v>
      </c>
      <c r="J268" t="str" cm="1">
        <f t="array" ref="J268">IF(F268=0," ",IF(ISBLANK(INDEX(Initial_Component_aggregator!H:H,MATCH(F268,Initial_Component_aggregator!B:B,0))),F268,INDEX(Initial_Component_aggregator!H:H,MATCH(F268,Initial_Component_aggregator!B:B,0))))</f>
        <v xml:space="preserve"> </v>
      </c>
      <c r="K268" t="str" cm="1">
        <f t="array" ref="K268">IF(F268=0," ",IF(ISBLANK(INDEX(Initial_Component_aggregator!H:H,MATCH(F268,Initial_Component_aggregator!B:B))),D268,INDEX(Initial_Component_aggregator!I:I,MATCH(J268,Initial_Component_aggregator!H:H))))</f>
        <v xml:space="preserve"> </v>
      </c>
      <c r="L268" t="str" cm="1">
        <f t="array" ref="L268">IF(F268=0," ",IF(ISBLANK(INDEX(Initial_Component_aggregator!H:H,MATCH(F268,Initial_Component_aggregator!B:B))),E268,INDEX(Initial_Component_aggregator!J:J,MATCH(J268,Initial_Component_aggregator!H:H))))</f>
        <v xml:space="preserve"> </v>
      </c>
      <c r="M268" t="str" cm="1">
        <f t="array" ref="M268">IF(F268=0," ",IF(ISBLANK(INDEX(Initial_Component_aggregator!H:H,MATCH(F268,Initial_Component_aggregator!B:B))),F268,INDEX(Initial_Component_aggregator!K:K,MATCH(J268,Initial_Component_aggregator!H:H))))</f>
        <v xml:space="preserve"> </v>
      </c>
    </row>
    <row r="269" spans="1:13" ht="36" customHeight="1">
      <c r="A269"/>
      <c r="B269"/>
      <c r="C269"/>
      <c r="D269"/>
      <c r="E269"/>
      <c r="F269"/>
      <c r="G269"/>
      <c r="H269" t="str">
        <f t="shared" si="4"/>
        <v xml:space="preserve"> </v>
      </c>
      <c r="I269" t="str" cm="1">
        <f t="array" ref="I269">IF(F269=0," ",IF(ISBLANK(INDEX(Initial_Component_aggregator!F:F,MATCH(F269,Initial_Component_aggregator!B:B,0))),"No change",INDEX(Initial_Component_aggregator!F:F,MATCH(F269,Initial_Component_aggregator!B:B,0))))</f>
        <v xml:space="preserve"> </v>
      </c>
      <c r="J269" t="str" cm="1">
        <f t="array" ref="J269">IF(F269=0," ",IF(ISBLANK(INDEX(Initial_Component_aggregator!H:H,MATCH(F269,Initial_Component_aggregator!B:B,0))),F269,INDEX(Initial_Component_aggregator!H:H,MATCH(F269,Initial_Component_aggregator!B:B,0))))</f>
        <v xml:space="preserve"> </v>
      </c>
      <c r="K269" t="str" cm="1">
        <f t="array" ref="K269">IF(F269=0," ",IF(ISBLANK(INDEX(Initial_Component_aggregator!H:H,MATCH(F269,Initial_Component_aggregator!B:B))),D269,INDEX(Initial_Component_aggregator!I:I,MATCH(J269,Initial_Component_aggregator!H:H))))</f>
        <v xml:space="preserve"> </v>
      </c>
      <c r="L269" t="str" cm="1">
        <f t="array" ref="L269">IF(F269=0," ",IF(ISBLANK(INDEX(Initial_Component_aggregator!H:H,MATCH(F269,Initial_Component_aggregator!B:B))),E269,INDEX(Initial_Component_aggregator!J:J,MATCH(J269,Initial_Component_aggregator!H:H))))</f>
        <v xml:space="preserve"> </v>
      </c>
      <c r="M269" t="str" cm="1">
        <f t="array" ref="M269">IF(F269=0," ",IF(ISBLANK(INDEX(Initial_Component_aggregator!H:H,MATCH(F269,Initial_Component_aggregator!B:B))),F269,INDEX(Initial_Component_aggregator!K:K,MATCH(J269,Initial_Component_aggregator!H:H))))</f>
        <v xml:space="preserve"> </v>
      </c>
    </row>
    <row r="270" spans="1:13" ht="36" customHeight="1">
      <c r="A270"/>
      <c r="B270"/>
      <c r="C270"/>
      <c r="D270"/>
      <c r="E270"/>
      <c r="F270"/>
      <c r="G270"/>
      <c r="H270" t="str">
        <f t="shared" si="4"/>
        <v xml:space="preserve"> </v>
      </c>
      <c r="I270" t="str" cm="1">
        <f t="array" ref="I270">IF(F270=0," ",IF(ISBLANK(INDEX(Initial_Component_aggregator!F:F,MATCH(F270,Initial_Component_aggregator!B:B,0))),"No change",INDEX(Initial_Component_aggregator!F:F,MATCH(F270,Initial_Component_aggregator!B:B,0))))</f>
        <v xml:space="preserve"> </v>
      </c>
      <c r="J270" t="str" cm="1">
        <f t="array" ref="J270">IF(F270=0," ",IF(ISBLANK(INDEX(Initial_Component_aggregator!H:H,MATCH(F270,Initial_Component_aggregator!B:B,0))),F270,INDEX(Initial_Component_aggregator!H:H,MATCH(F270,Initial_Component_aggregator!B:B,0))))</f>
        <v xml:space="preserve"> </v>
      </c>
      <c r="K270" t="str" cm="1">
        <f t="array" ref="K270">IF(F270=0," ",IF(ISBLANK(INDEX(Initial_Component_aggregator!H:H,MATCH(F270,Initial_Component_aggregator!B:B))),D270,INDEX(Initial_Component_aggregator!I:I,MATCH(J270,Initial_Component_aggregator!H:H))))</f>
        <v xml:space="preserve"> </v>
      </c>
      <c r="L270" t="str" cm="1">
        <f t="array" ref="L270">IF(F270=0," ",IF(ISBLANK(INDEX(Initial_Component_aggregator!H:H,MATCH(F270,Initial_Component_aggregator!B:B))),E270,INDEX(Initial_Component_aggregator!J:J,MATCH(J270,Initial_Component_aggregator!H:H))))</f>
        <v xml:space="preserve"> </v>
      </c>
      <c r="M270" t="str" cm="1">
        <f t="array" ref="M270">IF(F270=0," ",IF(ISBLANK(INDEX(Initial_Component_aggregator!H:H,MATCH(F270,Initial_Component_aggregator!B:B))),F270,INDEX(Initial_Component_aggregator!K:K,MATCH(J270,Initial_Component_aggregator!H:H))))</f>
        <v xml:space="preserve"> </v>
      </c>
    </row>
    <row r="271" spans="1:13" ht="36" customHeight="1">
      <c r="A271"/>
      <c r="B271"/>
      <c r="C271"/>
      <c r="D271"/>
      <c r="E271"/>
      <c r="F271"/>
      <c r="G271"/>
      <c r="H271" t="str">
        <f t="shared" si="4"/>
        <v xml:space="preserve"> </v>
      </c>
      <c r="I271" t="str" cm="1">
        <f t="array" ref="I271">IF(F271=0," ",IF(ISBLANK(INDEX(Initial_Component_aggregator!F:F,MATCH(F271,Initial_Component_aggregator!B:B,0))),"No change",INDEX(Initial_Component_aggregator!F:F,MATCH(F271,Initial_Component_aggregator!B:B,0))))</f>
        <v xml:space="preserve"> </v>
      </c>
      <c r="J271" t="str" cm="1">
        <f t="array" ref="J271">IF(F271=0," ",IF(ISBLANK(INDEX(Initial_Component_aggregator!H:H,MATCH(F271,Initial_Component_aggregator!B:B,0))),F271,INDEX(Initial_Component_aggregator!H:H,MATCH(F271,Initial_Component_aggregator!B:B,0))))</f>
        <v xml:space="preserve"> </v>
      </c>
      <c r="K271" t="str" cm="1">
        <f t="array" ref="K271">IF(F271=0," ",IF(ISBLANK(INDEX(Initial_Component_aggregator!H:H,MATCH(F271,Initial_Component_aggregator!B:B))),D271,INDEX(Initial_Component_aggregator!I:I,MATCH(J271,Initial_Component_aggregator!H:H))))</f>
        <v xml:space="preserve"> </v>
      </c>
      <c r="L271" t="str" cm="1">
        <f t="array" ref="L271">IF(F271=0," ",IF(ISBLANK(INDEX(Initial_Component_aggregator!H:H,MATCH(F271,Initial_Component_aggregator!B:B))),E271,INDEX(Initial_Component_aggregator!J:J,MATCH(J271,Initial_Component_aggregator!H:H))))</f>
        <v xml:space="preserve"> </v>
      </c>
      <c r="M271" t="str" cm="1">
        <f t="array" ref="M271">IF(F271=0," ",IF(ISBLANK(INDEX(Initial_Component_aggregator!H:H,MATCH(F271,Initial_Component_aggregator!B:B))),F271,INDEX(Initial_Component_aggregator!K:K,MATCH(J271,Initial_Component_aggregator!H:H))))</f>
        <v xml:space="preserve"> </v>
      </c>
    </row>
    <row r="272" spans="1:13" ht="36" customHeight="1">
      <c r="A272"/>
      <c r="B272"/>
      <c r="C272"/>
      <c r="D272"/>
      <c r="E272"/>
      <c r="F272"/>
      <c r="G272"/>
      <c r="H272" t="str">
        <f t="shared" si="4"/>
        <v xml:space="preserve"> </v>
      </c>
      <c r="I272" t="str" cm="1">
        <f t="array" ref="I272">IF(F272=0," ",IF(ISBLANK(INDEX(Initial_Component_aggregator!F:F,MATCH(F272,Initial_Component_aggregator!B:B,0))),"No change",INDEX(Initial_Component_aggregator!F:F,MATCH(F272,Initial_Component_aggregator!B:B,0))))</f>
        <v xml:space="preserve"> </v>
      </c>
      <c r="J272" t="str" cm="1">
        <f t="array" ref="J272">IF(F272=0," ",IF(ISBLANK(INDEX(Initial_Component_aggregator!H:H,MATCH(F272,Initial_Component_aggregator!B:B,0))),F272,INDEX(Initial_Component_aggregator!H:H,MATCH(F272,Initial_Component_aggregator!B:B,0))))</f>
        <v xml:space="preserve"> </v>
      </c>
      <c r="K272" t="str" cm="1">
        <f t="array" ref="K272">IF(F272=0," ",IF(ISBLANK(INDEX(Initial_Component_aggregator!H:H,MATCH(F272,Initial_Component_aggregator!B:B))),D272,INDEX(Initial_Component_aggregator!I:I,MATCH(J272,Initial_Component_aggregator!H:H))))</f>
        <v xml:space="preserve"> </v>
      </c>
      <c r="L272" t="str" cm="1">
        <f t="array" ref="L272">IF(F272=0," ",IF(ISBLANK(INDEX(Initial_Component_aggregator!H:H,MATCH(F272,Initial_Component_aggregator!B:B))),E272,INDEX(Initial_Component_aggregator!J:J,MATCH(J272,Initial_Component_aggregator!H:H))))</f>
        <v xml:space="preserve"> </v>
      </c>
      <c r="M272" t="str" cm="1">
        <f t="array" ref="M272">IF(F272=0," ",IF(ISBLANK(INDEX(Initial_Component_aggregator!H:H,MATCH(F272,Initial_Component_aggregator!B:B))),F272,INDEX(Initial_Component_aggregator!K:K,MATCH(J272,Initial_Component_aggregator!H:H))))</f>
        <v xml:space="preserve"> </v>
      </c>
    </row>
    <row r="273" spans="1:13" ht="36" customHeight="1">
      <c r="A273"/>
      <c r="B273"/>
      <c r="C273"/>
      <c r="D273"/>
      <c r="E273"/>
      <c r="F273"/>
      <c r="G273"/>
      <c r="H273" t="str">
        <f t="shared" si="4"/>
        <v xml:space="preserve"> </v>
      </c>
      <c r="I273" t="str" cm="1">
        <f t="array" ref="I273">IF(F273=0," ",IF(ISBLANK(INDEX(Initial_Component_aggregator!F:F,MATCH(F273,Initial_Component_aggregator!B:B,0))),"No change",INDEX(Initial_Component_aggregator!F:F,MATCH(F273,Initial_Component_aggregator!B:B,0))))</f>
        <v xml:space="preserve"> </v>
      </c>
      <c r="J273" t="str" cm="1">
        <f t="array" ref="J273">IF(F273=0," ",IF(ISBLANK(INDEX(Initial_Component_aggregator!H:H,MATCH(F273,Initial_Component_aggregator!B:B,0))),F273,INDEX(Initial_Component_aggregator!H:H,MATCH(F273,Initial_Component_aggregator!B:B,0))))</f>
        <v xml:space="preserve"> </v>
      </c>
      <c r="K273" t="str" cm="1">
        <f t="array" ref="K273">IF(F273=0," ",IF(ISBLANK(INDEX(Initial_Component_aggregator!H:H,MATCH(F273,Initial_Component_aggregator!B:B))),D273,INDEX(Initial_Component_aggregator!I:I,MATCH(J273,Initial_Component_aggregator!H:H))))</f>
        <v xml:space="preserve"> </v>
      </c>
      <c r="L273" t="str" cm="1">
        <f t="array" ref="L273">IF(F273=0," ",IF(ISBLANK(INDEX(Initial_Component_aggregator!H:H,MATCH(F273,Initial_Component_aggregator!B:B))),E273,INDEX(Initial_Component_aggregator!J:J,MATCH(J273,Initial_Component_aggregator!H:H))))</f>
        <v xml:space="preserve"> </v>
      </c>
      <c r="M273" t="str" cm="1">
        <f t="array" ref="M273">IF(F273=0," ",IF(ISBLANK(INDEX(Initial_Component_aggregator!H:H,MATCH(F273,Initial_Component_aggregator!B:B))),F273,INDEX(Initial_Component_aggregator!K:K,MATCH(J273,Initial_Component_aggregator!H:H))))</f>
        <v xml:space="preserve"> </v>
      </c>
    </row>
    <row r="274" spans="1:13" ht="36" customHeight="1">
      <c r="A274"/>
      <c r="B274"/>
      <c r="C274"/>
      <c r="D274"/>
      <c r="E274"/>
      <c r="F274"/>
      <c r="G274"/>
      <c r="H274" t="str">
        <f t="shared" si="4"/>
        <v xml:space="preserve"> </v>
      </c>
      <c r="I274" t="str" cm="1">
        <f t="array" ref="I274">IF(F274=0," ",IF(ISBLANK(INDEX(Initial_Component_aggregator!F:F,MATCH(F274,Initial_Component_aggregator!B:B,0))),"No change",INDEX(Initial_Component_aggregator!F:F,MATCH(F274,Initial_Component_aggregator!B:B,0))))</f>
        <v xml:space="preserve"> </v>
      </c>
      <c r="J274" t="str" cm="1">
        <f t="array" ref="J274">IF(F274=0," ",IF(ISBLANK(INDEX(Initial_Component_aggregator!H:H,MATCH(F274,Initial_Component_aggregator!B:B,0))),F274,INDEX(Initial_Component_aggregator!H:H,MATCH(F274,Initial_Component_aggregator!B:B,0))))</f>
        <v xml:space="preserve"> </v>
      </c>
      <c r="K274" t="str" cm="1">
        <f t="array" ref="K274">IF(F274=0," ",IF(ISBLANK(INDEX(Initial_Component_aggregator!H:H,MATCH(F274,Initial_Component_aggregator!B:B))),D274,INDEX(Initial_Component_aggregator!I:I,MATCH(J274,Initial_Component_aggregator!H:H))))</f>
        <v xml:space="preserve"> </v>
      </c>
      <c r="L274" t="str" cm="1">
        <f t="array" ref="L274">IF(F274=0," ",IF(ISBLANK(INDEX(Initial_Component_aggregator!H:H,MATCH(F274,Initial_Component_aggregator!B:B))),E274,INDEX(Initial_Component_aggregator!J:J,MATCH(J274,Initial_Component_aggregator!H:H))))</f>
        <v xml:space="preserve"> </v>
      </c>
      <c r="M274" t="str" cm="1">
        <f t="array" ref="M274">IF(F274=0," ",IF(ISBLANK(INDEX(Initial_Component_aggregator!H:H,MATCH(F274,Initial_Component_aggregator!B:B))),F274,INDEX(Initial_Component_aggregator!K:K,MATCH(J274,Initial_Component_aggregator!H:H))))</f>
        <v xml:space="preserve"> </v>
      </c>
    </row>
    <row r="275" spans="1:13" ht="36" customHeight="1">
      <c r="A275"/>
      <c r="B275"/>
      <c r="C275"/>
      <c r="D275"/>
      <c r="E275"/>
      <c r="F275"/>
      <c r="G275"/>
      <c r="H275" t="str">
        <f t="shared" si="4"/>
        <v xml:space="preserve"> </v>
      </c>
      <c r="I275" t="str" cm="1">
        <f t="array" ref="I275">IF(F275=0," ",IF(ISBLANK(INDEX(Initial_Component_aggregator!F:F,MATCH(F275,Initial_Component_aggregator!B:B,0))),"No change",INDEX(Initial_Component_aggregator!F:F,MATCH(F275,Initial_Component_aggregator!B:B,0))))</f>
        <v xml:space="preserve"> </v>
      </c>
      <c r="J275" t="str" cm="1">
        <f t="array" ref="J275">IF(F275=0," ",IF(ISBLANK(INDEX(Initial_Component_aggregator!H:H,MATCH(F275,Initial_Component_aggregator!B:B,0))),F275,INDEX(Initial_Component_aggregator!H:H,MATCH(F275,Initial_Component_aggregator!B:B,0))))</f>
        <v xml:space="preserve"> </v>
      </c>
      <c r="K275" t="str" cm="1">
        <f t="array" ref="K275">IF(F275=0," ",IF(ISBLANK(INDEX(Initial_Component_aggregator!H:H,MATCH(F275,Initial_Component_aggregator!B:B))),D275,INDEX(Initial_Component_aggregator!I:I,MATCH(J275,Initial_Component_aggregator!H:H))))</f>
        <v xml:space="preserve"> </v>
      </c>
      <c r="L275" t="str" cm="1">
        <f t="array" ref="L275">IF(F275=0," ",IF(ISBLANK(INDEX(Initial_Component_aggregator!H:H,MATCH(F275,Initial_Component_aggregator!B:B))),E275,INDEX(Initial_Component_aggregator!J:J,MATCH(J275,Initial_Component_aggregator!H:H))))</f>
        <v xml:space="preserve"> </v>
      </c>
      <c r="M275" t="str" cm="1">
        <f t="array" ref="M275">IF(F275=0," ",IF(ISBLANK(INDEX(Initial_Component_aggregator!H:H,MATCH(F275,Initial_Component_aggregator!B:B))),F275,INDEX(Initial_Component_aggregator!K:K,MATCH(J275,Initial_Component_aggregator!H:H))))</f>
        <v xml:space="preserve"> </v>
      </c>
    </row>
    <row r="276" spans="1:13" ht="36" customHeight="1">
      <c r="A276"/>
      <c r="B276"/>
      <c r="C276"/>
      <c r="D276"/>
      <c r="E276"/>
      <c r="F276"/>
      <c r="G276"/>
      <c r="H276" t="str">
        <f t="shared" si="4"/>
        <v xml:space="preserve"> </v>
      </c>
      <c r="I276" t="str" cm="1">
        <f t="array" ref="I276">IF(F276=0," ",IF(ISBLANK(INDEX(Initial_Component_aggregator!F:F,MATCH(F276,Initial_Component_aggregator!B:B,0))),"No change",INDEX(Initial_Component_aggregator!F:F,MATCH(F276,Initial_Component_aggregator!B:B,0))))</f>
        <v xml:space="preserve"> </v>
      </c>
      <c r="J276" t="str" cm="1">
        <f t="array" ref="J276">IF(F276=0," ",IF(ISBLANK(INDEX(Initial_Component_aggregator!H:H,MATCH(F276,Initial_Component_aggregator!B:B,0))),F276,INDEX(Initial_Component_aggregator!H:H,MATCH(F276,Initial_Component_aggregator!B:B,0))))</f>
        <v xml:space="preserve"> </v>
      </c>
      <c r="K276" t="str" cm="1">
        <f t="array" ref="K276">IF(F276=0," ",IF(ISBLANK(INDEX(Initial_Component_aggregator!H:H,MATCH(F276,Initial_Component_aggregator!B:B))),D276,INDEX(Initial_Component_aggregator!I:I,MATCH(J276,Initial_Component_aggregator!H:H))))</f>
        <v xml:space="preserve"> </v>
      </c>
      <c r="L276" t="str" cm="1">
        <f t="array" ref="L276">IF(F276=0," ",IF(ISBLANK(INDEX(Initial_Component_aggregator!H:H,MATCH(F276,Initial_Component_aggregator!B:B))),E276,INDEX(Initial_Component_aggregator!J:J,MATCH(J276,Initial_Component_aggregator!H:H))))</f>
        <v xml:space="preserve"> </v>
      </c>
      <c r="M276" t="str" cm="1">
        <f t="array" ref="M276">IF(F276=0," ",IF(ISBLANK(INDEX(Initial_Component_aggregator!H:H,MATCH(F276,Initial_Component_aggregator!B:B))),F276,INDEX(Initial_Component_aggregator!K:K,MATCH(J276,Initial_Component_aggregator!H:H))))</f>
        <v xml:space="preserve"> </v>
      </c>
    </row>
    <row r="277" spans="1:13" ht="36" customHeight="1">
      <c r="A277"/>
      <c r="B277"/>
      <c r="C277"/>
      <c r="D277"/>
      <c r="E277"/>
      <c r="F277"/>
      <c r="G277"/>
      <c r="H277" t="str">
        <f t="shared" si="4"/>
        <v xml:space="preserve"> </v>
      </c>
      <c r="I277" t="str" cm="1">
        <f t="array" ref="I277">IF(F277=0," ",IF(ISBLANK(INDEX(Initial_Component_aggregator!F:F,MATCH(F277,Initial_Component_aggregator!B:B,0))),"No change",INDEX(Initial_Component_aggregator!F:F,MATCH(F277,Initial_Component_aggregator!B:B,0))))</f>
        <v xml:space="preserve"> </v>
      </c>
      <c r="J277" t="str" cm="1">
        <f t="array" ref="J277">IF(F277=0," ",IF(ISBLANK(INDEX(Initial_Component_aggregator!H:H,MATCH(F277,Initial_Component_aggregator!B:B,0))),F277,INDEX(Initial_Component_aggregator!H:H,MATCH(F277,Initial_Component_aggregator!B:B,0))))</f>
        <v xml:space="preserve"> </v>
      </c>
      <c r="K277" t="str" cm="1">
        <f t="array" ref="K277">IF(F277=0," ",IF(ISBLANK(INDEX(Initial_Component_aggregator!H:H,MATCH(F277,Initial_Component_aggregator!B:B))),D277,INDEX(Initial_Component_aggregator!I:I,MATCH(J277,Initial_Component_aggregator!H:H))))</f>
        <v xml:space="preserve"> </v>
      </c>
      <c r="L277" t="str" cm="1">
        <f t="array" ref="L277">IF(F277=0," ",IF(ISBLANK(INDEX(Initial_Component_aggregator!H:H,MATCH(F277,Initial_Component_aggregator!B:B))),E277,INDEX(Initial_Component_aggregator!J:J,MATCH(J277,Initial_Component_aggregator!H:H))))</f>
        <v xml:space="preserve"> </v>
      </c>
      <c r="M277" t="str" cm="1">
        <f t="array" ref="M277">IF(F277=0," ",IF(ISBLANK(INDEX(Initial_Component_aggregator!H:H,MATCH(F277,Initial_Component_aggregator!B:B))),F277,INDEX(Initial_Component_aggregator!K:K,MATCH(J277,Initial_Component_aggregator!H:H))))</f>
        <v xml:space="preserve"> </v>
      </c>
    </row>
    <row r="278" spans="1:13" ht="36" customHeight="1">
      <c r="A278"/>
      <c r="B278"/>
      <c r="C278"/>
      <c r="D278"/>
      <c r="E278"/>
      <c r="F278"/>
      <c r="G278"/>
      <c r="H278" t="str">
        <f t="shared" si="4"/>
        <v xml:space="preserve"> </v>
      </c>
      <c r="I278" t="str" cm="1">
        <f t="array" ref="I278">IF(F278=0," ",IF(ISBLANK(INDEX(Initial_Component_aggregator!F:F,MATCH(F278,Initial_Component_aggregator!B:B,0))),"No change",INDEX(Initial_Component_aggregator!F:F,MATCH(F278,Initial_Component_aggregator!B:B,0))))</f>
        <v xml:space="preserve"> </v>
      </c>
      <c r="J278" t="str" cm="1">
        <f t="array" ref="J278">IF(F278=0," ",IF(ISBLANK(INDEX(Initial_Component_aggregator!H:H,MATCH(F278,Initial_Component_aggregator!B:B,0))),F278,INDEX(Initial_Component_aggregator!H:H,MATCH(F278,Initial_Component_aggregator!B:B,0))))</f>
        <v xml:space="preserve"> </v>
      </c>
      <c r="K278" t="str" cm="1">
        <f t="array" ref="K278">IF(F278=0," ",IF(ISBLANK(INDEX(Initial_Component_aggregator!H:H,MATCH(F278,Initial_Component_aggregator!B:B))),D278,INDEX(Initial_Component_aggregator!I:I,MATCH(J278,Initial_Component_aggregator!H:H))))</f>
        <v xml:space="preserve"> </v>
      </c>
      <c r="L278" t="str" cm="1">
        <f t="array" ref="L278">IF(F278=0," ",IF(ISBLANK(INDEX(Initial_Component_aggregator!H:H,MATCH(F278,Initial_Component_aggregator!B:B))),E278,INDEX(Initial_Component_aggregator!J:J,MATCH(J278,Initial_Component_aggregator!H:H))))</f>
        <v xml:space="preserve"> </v>
      </c>
      <c r="M278" t="str" cm="1">
        <f t="array" ref="M278">IF(F278=0," ",IF(ISBLANK(INDEX(Initial_Component_aggregator!H:H,MATCH(F278,Initial_Component_aggregator!B:B))),F278,INDEX(Initial_Component_aggregator!K:K,MATCH(J278,Initial_Component_aggregator!H:H))))</f>
        <v xml:space="preserve"> </v>
      </c>
    </row>
    <row r="279" spans="1:13" ht="36" customHeight="1">
      <c r="A279"/>
      <c r="B279"/>
      <c r="C279"/>
      <c r="D279"/>
      <c r="E279"/>
      <c r="F279"/>
      <c r="G279"/>
      <c r="H279" t="str">
        <f t="shared" si="4"/>
        <v xml:space="preserve"> </v>
      </c>
      <c r="I279" t="str" cm="1">
        <f t="array" ref="I279">IF(F279=0," ",IF(ISBLANK(INDEX(Initial_Component_aggregator!F:F,MATCH(F279,Initial_Component_aggregator!B:B,0))),"No change",INDEX(Initial_Component_aggregator!F:F,MATCH(F279,Initial_Component_aggregator!B:B,0))))</f>
        <v xml:space="preserve"> </v>
      </c>
      <c r="J279" t="str" cm="1">
        <f t="array" ref="J279">IF(F279=0," ",IF(ISBLANK(INDEX(Initial_Component_aggregator!H:H,MATCH(F279,Initial_Component_aggregator!B:B,0))),F279,INDEX(Initial_Component_aggregator!H:H,MATCH(F279,Initial_Component_aggregator!B:B,0))))</f>
        <v xml:space="preserve"> </v>
      </c>
      <c r="K279" t="str" cm="1">
        <f t="array" ref="K279">IF(F279=0," ",IF(ISBLANK(INDEX(Initial_Component_aggregator!H:H,MATCH(F279,Initial_Component_aggregator!B:B))),D279,INDEX(Initial_Component_aggregator!I:I,MATCH(J279,Initial_Component_aggregator!H:H))))</f>
        <v xml:space="preserve"> </v>
      </c>
      <c r="L279" t="str" cm="1">
        <f t="array" ref="L279">IF(F279=0," ",IF(ISBLANK(INDEX(Initial_Component_aggregator!H:H,MATCH(F279,Initial_Component_aggregator!B:B))),E279,INDEX(Initial_Component_aggregator!J:J,MATCH(J279,Initial_Component_aggregator!H:H))))</f>
        <v xml:space="preserve"> </v>
      </c>
      <c r="M279" t="str" cm="1">
        <f t="array" ref="M279">IF(F279=0," ",IF(ISBLANK(INDEX(Initial_Component_aggregator!H:H,MATCH(F279,Initial_Component_aggregator!B:B))),F279,INDEX(Initial_Component_aggregator!K:K,MATCH(J279,Initial_Component_aggregator!H:H))))</f>
        <v xml:space="preserve"> </v>
      </c>
    </row>
    <row r="280" spans="1:13" ht="36" customHeight="1">
      <c r="A280"/>
      <c r="B280"/>
      <c r="C280"/>
      <c r="D280"/>
      <c r="E280"/>
      <c r="F280"/>
      <c r="G280"/>
      <c r="H280" t="str">
        <f t="shared" si="4"/>
        <v xml:space="preserve"> </v>
      </c>
      <c r="I280" t="str" cm="1">
        <f t="array" ref="I280">IF(F280=0," ",IF(ISBLANK(INDEX(Initial_Component_aggregator!F:F,MATCH(F280,Initial_Component_aggregator!B:B,0))),"No change",INDEX(Initial_Component_aggregator!F:F,MATCH(F280,Initial_Component_aggregator!B:B,0))))</f>
        <v xml:space="preserve"> </v>
      </c>
      <c r="J280" t="str" cm="1">
        <f t="array" ref="J280">IF(F280=0," ",IF(ISBLANK(INDEX(Initial_Component_aggregator!H:H,MATCH(F280,Initial_Component_aggregator!B:B,0))),F280,INDEX(Initial_Component_aggregator!H:H,MATCH(F280,Initial_Component_aggregator!B:B,0))))</f>
        <v xml:space="preserve"> </v>
      </c>
      <c r="K280" t="str" cm="1">
        <f t="array" ref="K280">IF(F280=0," ",IF(ISBLANK(INDEX(Initial_Component_aggregator!H:H,MATCH(F280,Initial_Component_aggregator!B:B))),D280,INDEX(Initial_Component_aggregator!I:I,MATCH(J280,Initial_Component_aggregator!H:H))))</f>
        <v xml:space="preserve"> </v>
      </c>
      <c r="L280" t="str" cm="1">
        <f t="array" ref="L280">IF(F280=0," ",IF(ISBLANK(INDEX(Initial_Component_aggregator!H:H,MATCH(F280,Initial_Component_aggregator!B:B))),E280,INDEX(Initial_Component_aggregator!J:J,MATCH(J280,Initial_Component_aggregator!H:H))))</f>
        <v xml:space="preserve"> </v>
      </c>
      <c r="M280" t="str" cm="1">
        <f t="array" ref="M280">IF(F280=0," ",IF(ISBLANK(INDEX(Initial_Component_aggregator!H:H,MATCH(F280,Initial_Component_aggregator!B:B))),F280,INDEX(Initial_Component_aggregator!K:K,MATCH(J280,Initial_Component_aggregator!H:H))))</f>
        <v xml:space="preserve"> </v>
      </c>
    </row>
    <row r="281" spans="1:13" ht="36" customHeight="1">
      <c r="A281"/>
      <c r="B281"/>
      <c r="C281"/>
      <c r="D281"/>
      <c r="E281"/>
      <c r="F281"/>
      <c r="G281"/>
      <c r="H281" t="str">
        <f t="shared" si="4"/>
        <v xml:space="preserve"> </v>
      </c>
      <c r="I281" t="str" cm="1">
        <f t="array" ref="I281">IF(F281=0," ",IF(ISBLANK(INDEX(Initial_Component_aggregator!F:F,MATCH(F281,Initial_Component_aggregator!B:B,0))),"No change",INDEX(Initial_Component_aggregator!F:F,MATCH(F281,Initial_Component_aggregator!B:B,0))))</f>
        <v xml:space="preserve"> </v>
      </c>
      <c r="J281" t="str" cm="1">
        <f t="array" ref="J281">IF(F281=0," ",IF(ISBLANK(INDEX(Initial_Component_aggregator!H:H,MATCH(F281,Initial_Component_aggregator!B:B,0))),F281,INDEX(Initial_Component_aggregator!H:H,MATCH(F281,Initial_Component_aggregator!B:B,0))))</f>
        <v xml:space="preserve"> </v>
      </c>
      <c r="K281" t="str" cm="1">
        <f t="array" ref="K281">IF(F281=0," ",IF(ISBLANK(INDEX(Initial_Component_aggregator!H:H,MATCH(F281,Initial_Component_aggregator!B:B))),D281,INDEX(Initial_Component_aggregator!I:I,MATCH(J281,Initial_Component_aggregator!H:H))))</f>
        <v xml:space="preserve"> </v>
      </c>
      <c r="L281" t="str" cm="1">
        <f t="array" ref="L281">IF(F281=0," ",IF(ISBLANK(INDEX(Initial_Component_aggregator!H:H,MATCH(F281,Initial_Component_aggregator!B:B))),E281,INDEX(Initial_Component_aggregator!J:J,MATCH(J281,Initial_Component_aggregator!H:H))))</f>
        <v xml:space="preserve"> </v>
      </c>
      <c r="M281" t="str" cm="1">
        <f t="array" ref="M281">IF(F281=0," ",IF(ISBLANK(INDEX(Initial_Component_aggregator!H:H,MATCH(F281,Initial_Component_aggregator!B:B))),F281,INDEX(Initial_Component_aggregator!K:K,MATCH(J281,Initial_Component_aggregator!H:H))))</f>
        <v xml:space="preserve"> </v>
      </c>
    </row>
    <row r="282" spans="1:13" ht="36" customHeight="1">
      <c r="A282"/>
      <c r="B282"/>
      <c r="C282"/>
      <c r="D282"/>
      <c r="E282"/>
      <c r="F282"/>
      <c r="G282"/>
      <c r="H282" t="str">
        <f t="shared" si="4"/>
        <v xml:space="preserve"> </v>
      </c>
      <c r="I282" t="str" cm="1">
        <f t="array" ref="I282">IF(F282=0," ",IF(ISBLANK(INDEX(Initial_Component_aggregator!F:F,MATCH(F282,Initial_Component_aggregator!B:B,0))),"No change",INDEX(Initial_Component_aggregator!F:F,MATCH(F282,Initial_Component_aggregator!B:B,0))))</f>
        <v xml:space="preserve"> </v>
      </c>
      <c r="J282" t="str" cm="1">
        <f t="array" ref="J282">IF(F282=0," ",IF(ISBLANK(INDEX(Initial_Component_aggregator!H:H,MATCH(F282,Initial_Component_aggregator!B:B,0))),F282,INDEX(Initial_Component_aggregator!H:H,MATCH(F282,Initial_Component_aggregator!B:B,0))))</f>
        <v xml:space="preserve"> </v>
      </c>
      <c r="K282" t="str" cm="1">
        <f t="array" ref="K282">IF(F282=0," ",IF(ISBLANK(INDEX(Initial_Component_aggregator!H:H,MATCH(F282,Initial_Component_aggregator!B:B))),D282,INDEX(Initial_Component_aggregator!I:I,MATCH(J282,Initial_Component_aggregator!H:H))))</f>
        <v xml:space="preserve"> </v>
      </c>
      <c r="L282" t="str" cm="1">
        <f t="array" ref="L282">IF(F282=0," ",IF(ISBLANK(INDEX(Initial_Component_aggregator!H:H,MATCH(F282,Initial_Component_aggregator!B:B))),E282,INDEX(Initial_Component_aggregator!J:J,MATCH(J282,Initial_Component_aggregator!H:H))))</f>
        <v xml:space="preserve"> </v>
      </c>
      <c r="M282" t="str" cm="1">
        <f t="array" ref="M282">IF(F282=0," ",IF(ISBLANK(INDEX(Initial_Component_aggregator!H:H,MATCH(F282,Initial_Component_aggregator!B:B))),F282,INDEX(Initial_Component_aggregator!K:K,MATCH(J282,Initial_Component_aggregator!H:H))))</f>
        <v xml:space="preserve"> </v>
      </c>
    </row>
    <row r="283" spans="1:13" ht="36" customHeight="1">
      <c r="A283"/>
      <c r="B283"/>
      <c r="C283"/>
      <c r="D283"/>
      <c r="E283"/>
      <c r="F283"/>
      <c r="G283"/>
      <c r="H283" t="str">
        <f t="shared" si="4"/>
        <v xml:space="preserve"> </v>
      </c>
      <c r="I283" t="str" cm="1">
        <f t="array" ref="I283">IF(F283=0," ",IF(ISBLANK(INDEX(Initial_Component_aggregator!F:F,MATCH(F283,Initial_Component_aggregator!B:B,0))),"No change",INDEX(Initial_Component_aggregator!F:F,MATCH(F283,Initial_Component_aggregator!B:B,0))))</f>
        <v xml:space="preserve"> </v>
      </c>
      <c r="J283" t="str" cm="1">
        <f t="array" ref="J283">IF(F283=0," ",IF(ISBLANK(INDEX(Initial_Component_aggregator!H:H,MATCH(F283,Initial_Component_aggregator!B:B,0))),F283,INDEX(Initial_Component_aggregator!H:H,MATCH(F283,Initial_Component_aggregator!B:B,0))))</f>
        <v xml:space="preserve"> </v>
      </c>
      <c r="K283" t="str" cm="1">
        <f t="array" ref="K283">IF(F283=0," ",IF(ISBLANK(INDEX(Initial_Component_aggregator!H:H,MATCH(F283,Initial_Component_aggregator!B:B))),D283,INDEX(Initial_Component_aggregator!I:I,MATCH(J283,Initial_Component_aggregator!H:H))))</f>
        <v xml:space="preserve"> </v>
      </c>
      <c r="L283" t="str" cm="1">
        <f t="array" ref="L283">IF(F283=0," ",IF(ISBLANK(INDEX(Initial_Component_aggregator!H:H,MATCH(F283,Initial_Component_aggregator!B:B))),E283,INDEX(Initial_Component_aggregator!J:J,MATCH(J283,Initial_Component_aggregator!H:H))))</f>
        <v xml:space="preserve"> </v>
      </c>
      <c r="M283" t="str" cm="1">
        <f t="array" ref="M283">IF(F283=0," ",IF(ISBLANK(INDEX(Initial_Component_aggregator!H:H,MATCH(F283,Initial_Component_aggregator!B:B))),F283,INDEX(Initial_Component_aggregator!K:K,MATCH(J283,Initial_Component_aggregator!H:H))))</f>
        <v xml:space="preserve"> </v>
      </c>
    </row>
    <row r="284" spans="1:13" ht="36" customHeight="1">
      <c r="A284"/>
      <c r="B284"/>
      <c r="C284"/>
      <c r="D284"/>
      <c r="E284"/>
      <c r="F284"/>
      <c r="G284"/>
      <c r="H284" t="str">
        <f t="shared" si="4"/>
        <v xml:space="preserve"> </v>
      </c>
      <c r="I284" t="str" cm="1">
        <f t="array" ref="I284">IF(F284=0," ",IF(ISBLANK(INDEX(Initial_Component_aggregator!F:F,MATCH(F284,Initial_Component_aggregator!B:B,0))),"No change",INDEX(Initial_Component_aggregator!F:F,MATCH(F284,Initial_Component_aggregator!B:B,0))))</f>
        <v xml:space="preserve"> </v>
      </c>
      <c r="J284" t="str" cm="1">
        <f t="array" ref="J284">IF(F284=0," ",IF(ISBLANK(INDEX(Initial_Component_aggregator!H:H,MATCH(F284,Initial_Component_aggregator!B:B,0))),F284,INDEX(Initial_Component_aggregator!H:H,MATCH(F284,Initial_Component_aggregator!B:B,0))))</f>
        <v xml:space="preserve"> </v>
      </c>
      <c r="K284" t="str" cm="1">
        <f t="array" ref="K284">IF(F284=0," ",IF(ISBLANK(INDEX(Initial_Component_aggregator!H:H,MATCH(F284,Initial_Component_aggregator!B:B))),D284,INDEX(Initial_Component_aggregator!I:I,MATCH(J284,Initial_Component_aggregator!H:H))))</f>
        <v xml:space="preserve"> </v>
      </c>
      <c r="L284" t="str" cm="1">
        <f t="array" ref="L284">IF(F284=0," ",IF(ISBLANK(INDEX(Initial_Component_aggregator!H:H,MATCH(F284,Initial_Component_aggregator!B:B))),E284,INDEX(Initial_Component_aggregator!J:J,MATCH(J284,Initial_Component_aggregator!H:H))))</f>
        <v xml:space="preserve"> </v>
      </c>
      <c r="M284" t="str" cm="1">
        <f t="array" ref="M284">IF(F284=0," ",IF(ISBLANK(INDEX(Initial_Component_aggregator!H:H,MATCH(F284,Initial_Component_aggregator!B:B))),F284,INDEX(Initial_Component_aggregator!K:K,MATCH(J284,Initial_Component_aggregator!H:H))))</f>
        <v xml:space="preserve"> </v>
      </c>
    </row>
    <row r="285" spans="1:13" ht="36" customHeight="1">
      <c r="A285"/>
      <c r="B285"/>
      <c r="C285"/>
      <c r="D285"/>
      <c r="E285"/>
      <c r="F285"/>
      <c r="G285"/>
      <c r="H285" t="str">
        <f t="shared" si="4"/>
        <v xml:space="preserve"> </v>
      </c>
      <c r="I285" t="str" cm="1">
        <f t="array" ref="I285">IF(F285=0," ",IF(ISBLANK(INDEX(Initial_Component_aggregator!F:F,MATCH(F285,Initial_Component_aggregator!B:B,0))),"No change",INDEX(Initial_Component_aggregator!F:F,MATCH(F285,Initial_Component_aggregator!B:B,0))))</f>
        <v xml:space="preserve"> </v>
      </c>
      <c r="J285" t="str" cm="1">
        <f t="array" ref="J285">IF(F285=0," ",IF(ISBLANK(INDEX(Initial_Component_aggregator!H:H,MATCH(F285,Initial_Component_aggregator!B:B,0))),F285,INDEX(Initial_Component_aggregator!H:H,MATCH(F285,Initial_Component_aggregator!B:B,0))))</f>
        <v xml:space="preserve"> </v>
      </c>
      <c r="K285" t="str" cm="1">
        <f t="array" ref="K285">IF(F285=0," ",IF(ISBLANK(INDEX(Initial_Component_aggregator!H:H,MATCH(F285,Initial_Component_aggregator!B:B))),D285,INDEX(Initial_Component_aggregator!I:I,MATCH(J285,Initial_Component_aggregator!H:H))))</f>
        <v xml:space="preserve"> </v>
      </c>
      <c r="L285" t="str" cm="1">
        <f t="array" ref="L285">IF(F285=0," ",IF(ISBLANK(INDEX(Initial_Component_aggregator!H:H,MATCH(F285,Initial_Component_aggregator!B:B))),E285,INDEX(Initial_Component_aggregator!J:J,MATCH(J285,Initial_Component_aggregator!H:H))))</f>
        <v xml:space="preserve"> </v>
      </c>
      <c r="M285" t="str" cm="1">
        <f t="array" ref="M285">IF(F285=0," ",IF(ISBLANK(INDEX(Initial_Component_aggregator!H:H,MATCH(F285,Initial_Component_aggregator!B:B))),F285,INDEX(Initial_Component_aggregator!K:K,MATCH(J285,Initial_Component_aggregator!H:H))))</f>
        <v xml:space="preserve"> </v>
      </c>
    </row>
    <row r="286" spans="1:13" ht="36" customHeight="1">
      <c r="A286"/>
      <c r="B286"/>
      <c r="C286"/>
      <c r="D286"/>
      <c r="E286"/>
      <c r="F286"/>
      <c r="G286"/>
      <c r="H286" t="str">
        <f t="shared" si="4"/>
        <v xml:space="preserve"> </v>
      </c>
      <c r="I286" t="str" cm="1">
        <f t="array" ref="I286">IF(F286=0," ",IF(ISBLANK(INDEX(Initial_Component_aggregator!F:F,MATCH(F286,Initial_Component_aggregator!B:B,0))),"No change",INDEX(Initial_Component_aggregator!F:F,MATCH(F286,Initial_Component_aggregator!B:B,0))))</f>
        <v xml:space="preserve"> </v>
      </c>
      <c r="J286" t="str" cm="1">
        <f t="array" ref="J286">IF(F286=0," ",IF(ISBLANK(INDEX(Initial_Component_aggregator!H:H,MATCH(F286,Initial_Component_aggregator!B:B,0))),F286,INDEX(Initial_Component_aggregator!H:H,MATCH(F286,Initial_Component_aggregator!B:B,0))))</f>
        <v xml:space="preserve"> </v>
      </c>
      <c r="K286" t="str" cm="1">
        <f t="array" ref="K286">IF(F286=0," ",IF(ISBLANK(INDEX(Initial_Component_aggregator!H:H,MATCH(F286,Initial_Component_aggregator!B:B))),D286,INDEX(Initial_Component_aggregator!I:I,MATCH(J286,Initial_Component_aggregator!H:H))))</f>
        <v xml:space="preserve"> </v>
      </c>
      <c r="L286" t="str" cm="1">
        <f t="array" ref="L286">IF(F286=0," ",IF(ISBLANK(INDEX(Initial_Component_aggregator!H:H,MATCH(F286,Initial_Component_aggregator!B:B))),E286,INDEX(Initial_Component_aggregator!J:J,MATCH(J286,Initial_Component_aggregator!H:H))))</f>
        <v xml:space="preserve"> </v>
      </c>
      <c r="M286" t="str" cm="1">
        <f t="array" ref="M286">IF(F286=0," ",IF(ISBLANK(INDEX(Initial_Component_aggregator!H:H,MATCH(F286,Initial_Component_aggregator!B:B))),F286,INDEX(Initial_Component_aggregator!K:K,MATCH(J286,Initial_Component_aggregator!H:H))))</f>
        <v xml:space="preserve"> </v>
      </c>
    </row>
    <row r="287" spans="1:13" ht="36" customHeight="1">
      <c r="A287"/>
      <c r="B287"/>
      <c r="C287"/>
      <c r="D287"/>
      <c r="E287"/>
      <c r="F287"/>
      <c r="G287"/>
      <c r="H287" t="str">
        <f t="shared" si="4"/>
        <v xml:space="preserve"> </v>
      </c>
      <c r="I287" t="str" cm="1">
        <f t="array" ref="I287">IF(F287=0," ",IF(ISBLANK(INDEX(Initial_Component_aggregator!F:F,MATCH(F287,Initial_Component_aggregator!B:B,0))),"No change",INDEX(Initial_Component_aggregator!F:F,MATCH(F287,Initial_Component_aggregator!B:B,0))))</f>
        <v xml:space="preserve"> </v>
      </c>
      <c r="J287" t="str" cm="1">
        <f t="array" ref="J287">IF(F287=0," ",IF(ISBLANK(INDEX(Initial_Component_aggregator!H:H,MATCH(F287,Initial_Component_aggregator!B:B,0))),F287,INDEX(Initial_Component_aggregator!H:H,MATCH(F287,Initial_Component_aggregator!B:B,0))))</f>
        <v xml:space="preserve"> </v>
      </c>
      <c r="K287" t="str" cm="1">
        <f t="array" ref="K287">IF(F287=0," ",IF(ISBLANK(INDEX(Initial_Component_aggregator!H:H,MATCH(F287,Initial_Component_aggregator!B:B))),D287,INDEX(Initial_Component_aggregator!I:I,MATCH(J287,Initial_Component_aggregator!H:H))))</f>
        <v xml:space="preserve"> </v>
      </c>
      <c r="L287" t="str" cm="1">
        <f t="array" ref="L287">IF(F287=0," ",IF(ISBLANK(INDEX(Initial_Component_aggregator!H:H,MATCH(F287,Initial_Component_aggregator!B:B))),E287,INDEX(Initial_Component_aggregator!J:J,MATCH(J287,Initial_Component_aggregator!H:H))))</f>
        <v xml:space="preserve"> </v>
      </c>
      <c r="M287" t="str" cm="1">
        <f t="array" ref="M287">IF(F287=0," ",IF(ISBLANK(INDEX(Initial_Component_aggregator!H:H,MATCH(F287,Initial_Component_aggregator!B:B))),F287,INDEX(Initial_Component_aggregator!K:K,MATCH(J287,Initial_Component_aggregator!H:H))))</f>
        <v xml:space="preserve"> </v>
      </c>
    </row>
    <row r="288" spans="1:13" ht="36" customHeight="1">
      <c r="A288"/>
      <c r="B288"/>
      <c r="C288"/>
      <c r="D288"/>
      <c r="E288"/>
      <c r="F288"/>
      <c r="G288"/>
      <c r="H288" t="str">
        <f t="shared" si="4"/>
        <v xml:space="preserve"> </v>
      </c>
      <c r="I288" t="str" cm="1">
        <f t="array" ref="I288">IF(F288=0," ",IF(ISBLANK(INDEX(Initial_Component_aggregator!F:F,MATCH(F288,Initial_Component_aggregator!B:B,0))),"No change",INDEX(Initial_Component_aggregator!F:F,MATCH(F288,Initial_Component_aggregator!B:B,0))))</f>
        <v xml:space="preserve"> </v>
      </c>
      <c r="J288" t="str" cm="1">
        <f t="array" ref="J288">IF(F288=0," ",IF(ISBLANK(INDEX(Initial_Component_aggregator!H:H,MATCH(F288,Initial_Component_aggregator!B:B,0))),F288,INDEX(Initial_Component_aggregator!H:H,MATCH(F288,Initial_Component_aggregator!B:B,0))))</f>
        <v xml:space="preserve"> </v>
      </c>
      <c r="K288" t="str" cm="1">
        <f t="array" ref="K288">IF(F288=0," ",IF(ISBLANK(INDEX(Initial_Component_aggregator!H:H,MATCH(F288,Initial_Component_aggregator!B:B))),D288,INDEX(Initial_Component_aggregator!I:I,MATCH(J288,Initial_Component_aggregator!H:H))))</f>
        <v xml:space="preserve"> </v>
      </c>
      <c r="L288" t="str" cm="1">
        <f t="array" ref="L288">IF(F288=0," ",IF(ISBLANK(INDEX(Initial_Component_aggregator!H:H,MATCH(F288,Initial_Component_aggregator!B:B))),E288,INDEX(Initial_Component_aggregator!J:J,MATCH(J288,Initial_Component_aggregator!H:H))))</f>
        <v xml:space="preserve"> </v>
      </c>
      <c r="M288" t="str" cm="1">
        <f t="array" ref="M288">IF(F288=0," ",IF(ISBLANK(INDEX(Initial_Component_aggregator!H:H,MATCH(F288,Initial_Component_aggregator!B:B))),F288,INDEX(Initial_Component_aggregator!K:K,MATCH(J288,Initial_Component_aggregator!H:H))))</f>
        <v xml:space="preserve"> </v>
      </c>
    </row>
    <row r="289" spans="1:13" ht="36" customHeight="1">
      <c r="A289"/>
      <c r="B289"/>
      <c r="C289"/>
      <c r="D289"/>
      <c r="E289"/>
      <c r="F289"/>
      <c r="G289"/>
      <c r="H289" t="str">
        <f t="shared" si="4"/>
        <v xml:space="preserve"> </v>
      </c>
      <c r="I289" t="str" cm="1">
        <f t="array" ref="I289">IF(F289=0," ",IF(ISBLANK(INDEX(Initial_Component_aggregator!F:F,MATCH(F289,Initial_Component_aggregator!B:B,0))),"No change",INDEX(Initial_Component_aggregator!F:F,MATCH(F289,Initial_Component_aggregator!B:B,0))))</f>
        <v xml:space="preserve"> </v>
      </c>
      <c r="J289" t="str" cm="1">
        <f t="array" ref="J289">IF(F289=0," ",IF(ISBLANK(INDEX(Initial_Component_aggregator!H:H,MATCH(F289,Initial_Component_aggregator!B:B,0))),F289,INDEX(Initial_Component_aggregator!H:H,MATCH(F289,Initial_Component_aggregator!B:B,0))))</f>
        <v xml:space="preserve"> </v>
      </c>
      <c r="K289" t="str" cm="1">
        <f t="array" ref="K289">IF(F289=0," ",IF(ISBLANK(INDEX(Initial_Component_aggregator!H:H,MATCH(F289,Initial_Component_aggregator!B:B))),D289,INDEX(Initial_Component_aggregator!I:I,MATCH(J289,Initial_Component_aggregator!H:H))))</f>
        <v xml:space="preserve"> </v>
      </c>
      <c r="L289" t="str" cm="1">
        <f t="array" ref="L289">IF(F289=0," ",IF(ISBLANK(INDEX(Initial_Component_aggregator!H:H,MATCH(F289,Initial_Component_aggregator!B:B))),E289,INDEX(Initial_Component_aggregator!J:J,MATCH(J289,Initial_Component_aggregator!H:H))))</f>
        <v xml:space="preserve"> </v>
      </c>
      <c r="M289" t="str" cm="1">
        <f t="array" ref="M289">IF(F289=0," ",IF(ISBLANK(INDEX(Initial_Component_aggregator!H:H,MATCH(F289,Initial_Component_aggregator!B:B))),F289,INDEX(Initial_Component_aggregator!K:K,MATCH(J289,Initial_Component_aggregator!H:H))))</f>
        <v xml:space="preserve"> </v>
      </c>
    </row>
    <row r="290" spans="1:13" ht="36" customHeight="1">
      <c r="A290"/>
      <c r="B290"/>
      <c r="C290"/>
      <c r="D290"/>
      <c r="E290"/>
      <c r="F290"/>
      <c r="G290"/>
      <c r="H290" t="str">
        <f t="shared" si="4"/>
        <v xml:space="preserve"> </v>
      </c>
      <c r="I290" t="str" cm="1">
        <f t="array" ref="I290">IF(F290=0," ",IF(ISBLANK(INDEX(Initial_Component_aggregator!F:F,MATCH(F290,Initial_Component_aggregator!B:B,0))),"No change",INDEX(Initial_Component_aggregator!F:F,MATCH(F290,Initial_Component_aggregator!B:B,0))))</f>
        <v xml:space="preserve"> </v>
      </c>
      <c r="J290" t="str" cm="1">
        <f t="array" ref="J290">IF(F290=0," ",IF(ISBLANK(INDEX(Initial_Component_aggregator!H:H,MATCH(F290,Initial_Component_aggregator!B:B,0))),F290,INDEX(Initial_Component_aggregator!H:H,MATCH(F290,Initial_Component_aggregator!B:B,0))))</f>
        <v xml:space="preserve"> </v>
      </c>
      <c r="K290" t="str" cm="1">
        <f t="array" ref="K290">IF(F290=0," ",IF(ISBLANK(INDEX(Initial_Component_aggregator!H:H,MATCH(F290,Initial_Component_aggregator!B:B))),D290,INDEX(Initial_Component_aggregator!I:I,MATCH(J290,Initial_Component_aggregator!H:H))))</f>
        <v xml:space="preserve"> </v>
      </c>
      <c r="L290" t="str" cm="1">
        <f t="array" ref="L290">IF(F290=0," ",IF(ISBLANK(INDEX(Initial_Component_aggregator!H:H,MATCH(F290,Initial_Component_aggregator!B:B))),E290,INDEX(Initial_Component_aggregator!J:J,MATCH(J290,Initial_Component_aggregator!H:H))))</f>
        <v xml:space="preserve"> </v>
      </c>
      <c r="M290" t="str" cm="1">
        <f t="array" ref="M290">IF(F290=0," ",IF(ISBLANK(INDEX(Initial_Component_aggregator!H:H,MATCH(F290,Initial_Component_aggregator!B:B))),F290,INDEX(Initial_Component_aggregator!K:K,MATCH(J290,Initial_Component_aggregator!H:H))))</f>
        <v xml:space="preserve"> </v>
      </c>
    </row>
    <row r="291" spans="1:13" ht="36" customHeight="1">
      <c r="A291"/>
      <c r="B291"/>
      <c r="C291"/>
      <c r="D291"/>
      <c r="E291"/>
      <c r="F291"/>
      <c r="G291"/>
      <c r="H291" t="str">
        <f t="shared" si="4"/>
        <v xml:space="preserve"> </v>
      </c>
      <c r="I291" t="str" cm="1">
        <f t="array" ref="I291">IF(F291=0," ",IF(ISBLANK(INDEX(Initial_Component_aggregator!F:F,MATCH(F291,Initial_Component_aggregator!B:B,0))),"No change",INDEX(Initial_Component_aggregator!F:F,MATCH(F291,Initial_Component_aggregator!B:B,0))))</f>
        <v xml:space="preserve"> </v>
      </c>
      <c r="J291" t="str" cm="1">
        <f t="array" ref="J291">IF(F291=0," ",IF(ISBLANK(INDEX(Initial_Component_aggregator!H:H,MATCH(F291,Initial_Component_aggregator!B:B,0))),F291,INDEX(Initial_Component_aggregator!H:H,MATCH(F291,Initial_Component_aggregator!B:B,0))))</f>
        <v xml:space="preserve"> </v>
      </c>
      <c r="K291" t="str" cm="1">
        <f t="array" ref="K291">IF(F291=0," ",IF(ISBLANK(INDEX(Initial_Component_aggregator!H:H,MATCH(F291,Initial_Component_aggregator!B:B))),D291,INDEX(Initial_Component_aggregator!I:I,MATCH(J291,Initial_Component_aggregator!H:H))))</f>
        <v xml:space="preserve"> </v>
      </c>
      <c r="L291" t="str" cm="1">
        <f t="array" ref="L291">IF(F291=0," ",IF(ISBLANK(INDEX(Initial_Component_aggregator!H:H,MATCH(F291,Initial_Component_aggregator!B:B))),E291,INDEX(Initial_Component_aggregator!J:J,MATCH(J291,Initial_Component_aggregator!H:H))))</f>
        <v xml:space="preserve"> </v>
      </c>
      <c r="M291" t="str" cm="1">
        <f t="array" ref="M291">IF(F291=0," ",IF(ISBLANK(INDEX(Initial_Component_aggregator!H:H,MATCH(F291,Initial_Component_aggregator!B:B))),F291,INDEX(Initial_Component_aggregator!K:K,MATCH(J291,Initial_Component_aggregator!H:H))))</f>
        <v xml:space="preserve"> </v>
      </c>
    </row>
    <row r="292" spans="1:13" ht="36" customHeight="1">
      <c r="A292"/>
      <c r="B292"/>
      <c r="C292"/>
      <c r="D292"/>
      <c r="E292"/>
      <c r="F292"/>
      <c r="G292"/>
      <c r="H292" t="str">
        <f t="shared" si="4"/>
        <v xml:space="preserve"> </v>
      </c>
      <c r="I292" t="str" cm="1">
        <f t="array" ref="I292">IF(F292=0," ",IF(ISBLANK(INDEX(Initial_Component_aggregator!F:F,MATCH(F292,Initial_Component_aggregator!B:B,0))),"No change",INDEX(Initial_Component_aggregator!F:F,MATCH(F292,Initial_Component_aggregator!B:B,0))))</f>
        <v xml:space="preserve"> </v>
      </c>
      <c r="J292" t="str" cm="1">
        <f t="array" ref="J292">IF(F292=0," ",IF(ISBLANK(INDEX(Initial_Component_aggregator!H:H,MATCH(F292,Initial_Component_aggregator!B:B,0))),F292,INDEX(Initial_Component_aggregator!H:H,MATCH(F292,Initial_Component_aggregator!B:B,0))))</f>
        <v xml:space="preserve"> </v>
      </c>
      <c r="K292" t="str" cm="1">
        <f t="array" ref="K292">IF(F292=0," ",IF(ISBLANK(INDEX(Initial_Component_aggregator!H:H,MATCH(F292,Initial_Component_aggregator!B:B))),D292,INDEX(Initial_Component_aggregator!I:I,MATCH(J292,Initial_Component_aggregator!H:H))))</f>
        <v xml:space="preserve"> </v>
      </c>
      <c r="L292" t="str" cm="1">
        <f t="array" ref="L292">IF(F292=0," ",IF(ISBLANK(INDEX(Initial_Component_aggregator!H:H,MATCH(F292,Initial_Component_aggregator!B:B))),E292,INDEX(Initial_Component_aggregator!J:J,MATCH(J292,Initial_Component_aggregator!H:H))))</f>
        <v xml:space="preserve"> </v>
      </c>
      <c r="M292" t="str" cm="1">
        <f t="array" ref="M292">IF(F292=0," ",IF(ISBLANK(INDEX(Initial_Component_aggregator!H:H,MATCH(F292,Initial_Component_aggregator!B:B))),F292,INDEX(Initial_Component_aggregator!K:K,MATCH(J292,Initial_Component_aggregator!H:H))))</f>
        <v xml:space="preserve"> </v>
      </c>
    </row>
    <row r="293" spans="1:13" ht="36" customHeight="1">
      <c r="A293"/>
      <c r="B293"/>
      <c r="C293"/>
      <c r="D293"/>
      <c r="E293"/>
      <c r="F293"/>
      <c r="G293"/>
      <c r="H293" t="str">
        <f t="shared" si="4"/>
        <v xml:space="preserve"> </v>
      </c>
      <c r="I293" t="str" cm="1">
        <f t="array" ref="I293">IF(F293=0," ",IF(ISBLANK(INDEX(Initial_Component_aggregator!F:F,MATCH(F293,Initial_Component_aggregator!B:B,0))),"No change",INDEX(Initial_Component_aggregator!F:F,MATCH(F293,Initial_Component_aggregator!B:B,0))))</f>
        <v xml:space="preserve"> </v>
      </c>
      <c r="J293" t="str" cm="1">
        <f t="array" ref="J293">IF(F293=0," ",IF(ISBLANK(INDEX(Initial_Component_aggregator!H:H,MATCH(F293,Initial_Component_aggregator!B:B,0))),F293,INDEX(Initial_Component_aggregator!H:H,MATCH(F293,Initial_Component_aggregator!B:B,0))))</f>
        <v xml:space="preserve"> </v>
      </c>
      <c r="K293" t="str" cm="1">
        <f t="array" ref="K293">IF(F293=0," ",IF(ISBLANK(INDEX(Initial_Component_aggregator!H:H,MATCH(F293,Initial_Component_aggregator!B:B))),D293,INDEX(Initial_Component_aggregator!I:I,MATCH(J293,Initial_Component_aggregator!H:H))))</f>
        <v xml:space="preserve"> </v>
      </c>
      <c r="L293" t="str" cm="1">
        <f t="array" ref="L293">IF(F293=0," ",IF(ISBLANK(INDEX(Initial_Component_aggregator!H:H,MATCH(F293,Initial_Component_aggregator!B:B))),E293,INDEX(Initial_Component_aggregator!J:J,MATCH(J293,Initial_Component_aggregator!H:H))))</f>
        <v xml:space="preserve"> </v>
      </c>
      <c r="M293" t="str" cm="1">
        <f t="array" ref="M293">IF(F293=0," ",IF(ISBLANK(INDEX(Initial_Component_aggregator!H:H,MATCH(F293,Initial_Component_aggregator!B:B))),F293,INDEX(Initial_Component_aggregator!K:K,MATCH(J293,Initial_Component_aggregator!H:H))))</f>
        <v xml:space="preserve"> </v>
      </c>
    </row>
    <row r="294" spans="1:13" ht="36" customHeight="1">
      <c r="A294"/>
      <c r="B294"/>
      <c r="C294"/>
      <c r="D294"/>
      <c r="E294"/>
      <c r="F294"/>
      <c r="G294"/>
      <c r="H294" t="str">
        <f t="shared" si="4"/>
        <v xml:space="preserve"> </v>
      </c>
      <c r="I294" t="str" cm="1">
        <f t="array" ref="I294">IF(F294=0," ",IF(ISBLANK(INDEX(Initial_Component_aggregator!F:F,MATCH(F294,Initial_Component_aggregator!B:B,0))),"No change",INDEX(Initial_Component_aggregator!F:F,MATCH(F294,Initial_Component_aggregator!B:B,0))))</f>
        <v xml:space="preserve"> </v>
      </c>
      <c r="J294" t="str" cm="1">
        <f t="array" ref="J294">IF(F294=0," ",IF(ISBLANK(INDEX(Initial_Component_aggregator!H:H,MATCH(F294,Initial_Component_aggregator!B:B,0))),F294,INDEX(Initial_Component_aggregator!H:H,MATCH(F294,Initial_Component_aggregator!B:B,0))))</f>
        <v xml:space="preserve"> </v>
      </c>
      <c r="K294" t="str" cm="1">
        <f t="array" ref="K294">IF(F294=0," ",IF(ISBLANK(INDEX(Initial_Component_aggregator!H:H,MATCH(F294,Initial_Component_aggregator!B:B))),D294,INDEX(Initial_Component_aggregator!I:I,MATCH(J294,Initial_Component_aggregator!H:H))))</f>
        <v xml:space="preserve"> </v>
      </c>
      <c r="L294" t="str" cm="1">
        <f t="array" ref="L294">IF(F294=0," ",IF(ISBLANK(INDEX(Initial_Component_aggregator!H:H,MATCH(F294,Initial_Component_aggregator!B:B))),E294,INDEX(Initial_Component_aggregator!J:J,MATCH(J294,Initial_Component_aggregator!H:H))))</f>
        <v xml:space="preserve"> </v>
      </c>
      <c r="M294" t="str" cm="1">
        <f t="array" ref="M294">IF(F294=0," ",IF(ISBLANK(INDEX(Initial_Component_aggregator!H:H,MATCH(F294,Initial_Component_aggregator!B:B))),F294,INDEX(Initial_Component_aggregator!K:K,MATCH(J294,Initial_Component_aggregator!H:H))))</f>
        <v xml:space="preserve"> </v>
      </c>
    </row>
    <row r="295" spans="1:13" ht="36" customHeight="1">
      <c r="A295"/>
      <c r="B295"/>
      <c r="C295"/>
      <c r="D295"/>
      <c r="E295"/>
      <c r="F295"/>
      <c r="G295"/>
      <c r="H295" t="str">
        <f t="shared" si="4"/>
        <v xml:space="preserve"> </v>
      </c>
      <c r="I295" t="str" cm="1">
        <f t="array" ref="I295">IF(F295=0," ",IF(ISBLANK(INDEX(Initial_Component_aggregator!F:F,MATCH(F295,Initial_Component_aggregator!B:B,0))),"No change",INDEX(Initial_Component_aggregator!F:F,MATCH(F295,Initial_Component_aggregator!B:B,0))))</f>
        <v xml:space="preserve"> </v>
      </c>
      <c r="J295" t="str" cm="1">
        <f t="array" ref="J295">IF(F295=0," ",IF(ISBLANK(INDEX(Initial_Component_aggregator!H:H,MATCH(F295,Initial_Component_aggregator!B:B,0))),F295,INDEX(Initial_Component_aggregator!H:H,MATCH(F295,Initial_Component_aggregator!B:B,0))))</f>
        <v xml:space="preserve"> </v>
      </c>
      <c r="K295" t="str" cm="1">
        <f t="array" ref="K295">IF(F295=0," ",IF(ISBLANK(INDEX(Initial_Component_aggregator!H:H,MATCH(F295,Initial_Component_aggregator!B:B))),D295,INDEX(Initial_Component_aggregator!I:I,MATCH(J295,Initial_Component_aggregator!H:H))))</f>
        <v xml:space="preserve"> </v>
      </c>
      <c r="L295" t="str" cm="1">
        <f t="array" ref="L295">IF(F295=0," ",IF(ISBLANK(INDEX(Initial_Component_aggregator!H:H,MATCH(F295,Initial_Component_aggregator!B:B))),E295,INDEX(Initial_Component_aggregator!J:J,MATCH(J295,Initial_Component_aggregator!H:H))))</f>
        <v xml:space="preserve"> </v>
      </c>
      <c r="M295" t="str" cm="1">
        <f t="array" ref="M295">IF(F295=0," ",IF(ISBLANK(INDEX(Initial_Component_aggregator!H:H,MATCH(F295,Initial_Component_aggregator!B:B))),F295,INDEX(Initial_Component_aggregator!K:K,MATCH(J295,Initial_Component_aggregator!H:H))))</f>
        <v xml:space="preserve"> </v>
      </c>
    </row>
    <row r="296" spans="1:13" ht="36" customHeight="1">
      <c r="A296"/>
      <c r="B296"/>
      <c r="C296"/>
      <c r="D296"/>
      <c r="E296"/>
      <c r="F296"/>
      <c r="G296"/>
      <c r="H296" t="str">
        <f t="shared" si="4"/>
        <v xml:space="preserve"> </v>
      </c>
      <c r="I296" t="str" cm="1">
        <f t="array" ref="I296">IF(F296=0," ",IF(ISBLANK(INDEX(Initial_Component_aggregator!F:F,MATCH(F296,Initial_Component_aggregator!B:B,0))),"No change",INDEX(Initial_Component_aggregator!F:F,MATCH(F296,Initial_Component_aggregator!B:B,0))))</f>
        <v xml:space="preserve"> </v>
      </c>
      <c r="J296" t="str" cm="1">
        <f t="array" ref="J296">IF(F296=0," ",IF(ISBLANK(INDEX(Initial_Component_aggregator!H:H,MATCH(F296,Initial_Component_aggregator!B:B,0))),F296,INDEX(Initial_Component_aggregator!H:H,MATCH(F296,Initial_Component_aggregator!B:B,0))))</f>
        <v xml:space="preserve"> </v>
      </c>
      <c r="K296" t="str" cm="1">
        <f t="array" ref="K296">IF(F296=0," ",IF(ISBLANK(INDEX(Initial_Component_aggregator!H:H,MATCH(F296,Initial_Component_aggregator!B:B))),D296,INDEX(Initial_Component_aggregator!I:I,MATCH(J296,Initial_Component_aggregator!H:H))))</f>
        <v xml:space="preserve"> </v>
      </c>
      <c r="L296" t="str" cm="1">
        <f t="array" ref="L296">IF(F296=0," ",IF(ISBLANK(INDEX(Initial_Component_aggregator!H:H,MATCH(F296,Initial_Component_aggregator!B:B))),E296,INDEX(Initial_Component_aggregator!J:J,MATCH(J296,Initial_Component_aggregator!H:H))))</f>
        <v xml:space="preserve"> </v>
      </c>
      <c r="M296" t="str" cm="1">
        <f t="array" ref="M296">IF(F296=0," ",IF(ISBLANK(INDEX(Initial_Component_aggregator!H:H,MATCH(F296,Initial_Component_aggregator!B:B))),F296,INDEX(Initial_Component_aggregator!K:K,MATCH(J296,Initial_Component_aggregator!H:H))))</f>
        <v xml:space="preserve"> </v>
      </c>
    </row>
    <row r="297" spans="1:13" ht="36" customHeight="1">
      <c r="A297"/>
      <c r="B297"/>
      <c r="C297"/>
      <c r="D297"/>
      <c r="E297"/>
      <c r="F297"/>
      <c r="G297"/>
      <c r="H297" t="str">
        <f t="shared" si="4"/>
        <v xml:space="preserve"> </v>
      </c>
      <c r="I297" t="str" cm="1">
        <f t="array" ref="I297">IF(F297=0," ",IF(ISBLANK(INDEX(Initial_Component_aggregator!F:F,MATCH(F297,Initial_Component_aggregator!B:B,0))),"No change",INDEX(Initial_Component_aggregator!F:F,MATCH(F297,Initial_Component_aggregator!B:B,0))))</f>
        <v xml:space="preserve"> </v>
      </c>
      <c r="J297" t="str" cm="1">
        <f t="array" ref="J297">IF(F297=0," ",IF(ISBLANK(INDEX(Initial_Component_aggregator!H:H,MATCH(F297,Initial_Component_aggregator!B:B,0))),F297,INDEX(Initial_Component_aggregator!H:H,MATCH(F297,Initial_Component_aggregator!B:B,0))))</f>
        <v xml:space="preserve"> </v>
      </c>
      <c r="K297" t="str" cm="1">
        <f t="array" ref="K297">IF(F297=0," ",IF(ISBLANK(INDEX(Initial_Component_aggregator!H:H,MATCH(F297,Initial_Component_aggregator!B:B))),D297,INDEX(Initial_Component_aggregator!I:I,MATCH(J297,Initial_Component_aggregator!H:H))))</f>
        <v xml:space="preserve"> </v>
      </c>
      <c r="L297" t="str" cm="1">
        <f t="array" ref="L297">IF(F297=0," ",IF(ISBLANK(INDEX(Initial_Component_aggregator!H:H,MATCH(F297,Initial_Component_aggregator!B:B))),E297,INDEX(Initial_Component_aggregator!J:J,MATCH(J297,Initial_Component_aggregator!H:H))))</f>
        <v xml:space="preserve"> </v>
      </c>
      <c r="M297" t="str" cm="1">
        <f t="array" ref="M297">IF(F297=0," ",IF(ISBLANK(INDEX(Initial_Component_aggregator!H:H,MATCH(F297,Initial_Component_aggregator!B:B))),F297,INDEX(Initial_Component_aggregator!K:K,MATCH(J297,Initial_Component_aggregator!H:H))))</f>
        <v xml:space="preserve"> </v>
      </c>
    </row>
    <row r="298" spans="1:13" ht="36" customHeight="1">
      <c r="A298"/>
      <c r="B298"/>
      <c r="C298"/>
      <c r="D298"/>
      <c r="E298"/>
      <c r="F298"/>
      <c r="G298"/>
      <c r="H298" t="str">
        <f t="shared" si="4"/>
        <v xml:space="preserve"> </v>
      </c>
      <c r="I298" t="str" cm="1">
        <f t="array" ref="I298">IF(F298=0," ",IF(ISBLANK(INDEX(Initial_Component_aggregator!F:F,MATCH(F298,Initial_Component_aggregator!B:B,0))),"No change",INDEX(Initial_Component_aggregator!F:F,MATCH(F298,Initial_Component_aggregator!B:B,0))))</f>
        <v xml:space="preserve"> </v>
      </c>
      <c r="J298" t="str" cm="1">
        <f t="array" ref="J298">IF(F298=0," ",IF(ISBLANK(INDEX(Initial_Component_aggregator!H:H,MATCH(F298,Initial_Component_aggregator!B:B,0))),F298,INDEX(Initial_Component_aggregator!H:H,MATCH(F298,Initial_Component_aggregator!B:B,0))))</f>
        <v xml:space="preserve"> </v>
      </c>
      <c r="K298" t="str" cm="1">
        <f t="array" ref="K298">IF(F298=0," ",IF(ISBLANK(INDEX(Initial_Component_aggregator!H:H,MATCH(F298,Initial_Component_aggregator!B:B))),D298,INDEX(Initial_Component_aggregator!I:I,MATCH(J298,Initial_Component_aggregator!H:H))))</f>
        <v xml:space="preserve"> </v>
      </c>
      <c r="L298" t="str" cm="1">
        <f t="array" ref="L298">IF(F298=0," ",IF(ISBLANK(INDEX(Initial_Component_aggregator!H:H,MATCH(F298,Initial_Component_aggregator!B:B))),E298,INDEX(Initial_Component_aggregator!J:J,MATCH(J298,Initial_Component_aggregator!H:H))))</f>
        <v xml:space="preserve"> </v>
      </c>
      <c r="M298" t="str" cm="1">
        <f t="array" ref="M298">IF(F298=0," ",IF(ISBLANK(INDEX(Initial_Component_aggregator!H:H,MATCH(F298,Initial_Component_aggregator!B:B))),F298,INDEX(Initial_Component_aggregator!K:K,MATCH(J298,Initial_Component_aggregator!H:H))))</f>
        <v xml:space="preserve"> </v>
      </c>
    </row>
    <row r="299" spans="1:13" ht="36" customHeight="1">
      <c r="A299"/>
      <c r="B299"/>
      <c r="C299"/>
      <c r="D299"/>
      <c r="E299"/>
      <c r="F299"/>
      <c r="G299"/>
      <c r="H299" t="str">
        <f t="shared" si="4"/>
        <v xml:space="preserve"> </v>
      </c>
      <c r="I299" t="str" cm="1">
        <f t="array" ref="I299">IF(F299=0," ",IF(ISBLANK(INDEX(Initial_Component_aggregator!F:F,MATCH(F299,Initial_Component_aggregator!B:B,0))),"No change",INDEX(Initial_Component_aggregator!F:F,MATCH(F299,Initial_Component_aggregator!B:B,0))))</f>
        <v xml:space="preserve"> </v>
      </c>
      <c r="J299" t="str" cm="1">
        <f t="array" ref="J299">IF(F299=0," ",IF(ISBLANK(INDEX(Initial_Component_aggregator!H:H,MATCH(F299,Initial_Component_aggregator!B:B,0))),F299,INDEX(Initial_Component_aggregator!H:H,MATCH(F299,Initial_Component_aggregator!B:B,0))))</f>
        <v xml:space="preserve"> </v>
      </c>
      <c r="K299" t="str" cm="1">
        <f t="array" ref="K299">IF(F299=0," ",IF(ISBLANK(INDEX(Initial_Component_aggregator!H:H,MATCH(F299,Initial_Component_aggregator!B:B))),D299,INDEX(Initial_Component_aggregator!I:I,MATCH(J299,Initial_Component_aggregator!H:H))))</f>
        <v xml:space="preserve"> </v>
      </c>
      <c r="L299" t="str" cm="1">
        <f t="array" ref="L299">IF(F299=0," ",IF(ISBLANK(INDEX(Initial_Component_aggregator!H:H,MATCH(F299,Initial_Component_aggregator!B:B))),E299,INDEX(Initial_Component_aggregator!J:J,MATCH(J299,Initial_Component_aggregator!H:H))))</f>
        <v xml:space="preserve"> </v>
      </c>
      <c r="M299" t="str" cm="1">
        <f t="array" ref="M299">IF(F299=0," ",IF(ISBLANK(INDEX(Initial_Component_aggregator!H:H,MATCH(F299,Initial_Component_aggregator!B:B))),F299,INDEX(Initial_Component_aggregator!K:K,MATCH(J299,Initial_Component_aggregator!H:H))))</f>
        <v xml:space="preserve"> </v>
      </c>
    </row>
    <row r="300" spans="1:13" ht="36" customHeight="1">
      <c r="A300"/>
      <c r="B300"/>
      <c r="C300"/>
      <c r="D300"/>
      <c r="E300"/>
      <c r="F300"/>
      <c r="G300"/>
      <c r="H300" t="str">
        <f t="shared" si="4"/>
        <v xml:space="preserve"> </v>
      </c>
      <c r="I300" t="str" cm="1">
        <f t="array" ref="I300">IF(F300=0," ",IF(ISBLANK(INDEX(Initial_Component_aggregator!F:F,MATCH(F300,Initial_Component_aggregator!B:B,0))),"No change",INDEX(Initial_Component_aggregator!F:F,MATCH(F300,Initial_Component_aggregator!B:B,0))))</f>
        <v xml:space="preserve"> </v>
      </c>
      <c r="J300" t="str" cm="1">
        <f t="array" ref="J300">IF(F300=0," ",IF(ISBLANK(INDEX(Initial_Component_aggregator!H:H,MATCH(F300,Initial_Component_aggregator!B:B,0))),F300,INDEX(Initial_Component_aggregator!H:H,MATCH(F300,Initial_Component_aggregator!B:B,0))))</f>
        <v xml:space="preserve"> </v>
      </c>
      <c r="K300" t="str" cm="1">
        <f t="array" ref="K300">IF(F300=0," ",IF(ISBLANK(INDEX(Initial_Component_aggregator!H:H,MATCH(F300,Initial_Component_aggregator!B:B))),D300,INDEX(Initial_Component_aggregator!I:I,MATCH(J300,Initial_Component_aggregator!H:H))))</f>
        <v xml:space="preserve"> </v>
      </c>
      <c r="L300" t="str" cm="1">
        <f t="array" ref="L300">IF(F300=0," ",IF(ISBLANK(INDEX(Initial_Component_aggregator!H:H,MATCH(F300,Initial_Component_aggregator!B:B))),E300,INDEX(Initial_Component_aggregator!J:J,MATCH(J300,Initial_Component_aggregator!H:H))))</f>
        <v xml:space="preserve"> </v>
      </c>
      <c r="M300" t="str" cm="1">
        <f t="array" ref="M300">IF(F300=0," ",IF(ISBLANK(INDEX(Initial_Component_aggregator!H:H,MATCH(F300,Initial_Component_aggregator!B:B))),F300,INDEX(Initial_Component_aggregator!K:K,MATCH(J300,Initial_Component_aggregator!H:H))))</f>
        <v xml:space="preserve"> </v>
      </c>
    </row>
    <row r="301" spans="1:13" ht="36" customHeight="1">
      <c r="A301"/>
      <c r="B301"/>
      <c r="C301"/>
      <c r="D301"/>
      <c r="E301"/>
      <c r="F301"/>
      <c r="G301"/>
      <c r="H301" t="str">
        <f t="shared" si="4"/>
        <v xml:space="preserve"> </v>
      </c>
      <c r="I301" t="str" cm="1">
        <f t="array" ref="I301">IF(F301=0," ",IF(ISBLANK(INDEX(Initial_Component_aggregator!F:F,MATCH(F301,Initial_Component_aggregator!B:B,0))),"No change",INDEX(Initial_Component_aggregator!F:F,MATCH(F301,Initial_Component_aggregator!B:B,0))))</f>
        <v xml:space="preserve"> </v>
      </c>
      <c r="J301" t="str" cm="1">
        <f t="array" ref="J301">IF(F301=0," ",IF(ISBLANK(INDEX(Initial_Component_aggregator!H:H,MATCH(F301,Initial_Component_aggregator!B:B,0))),F301,INDEX(Initial_Component_aggregator!H:H,MATCH(F301,Initial_Component_aggregator!B:B,0))))</f>
        <v xml:space="preserve"> </v>
      </c>
      <c r="K301" t="str" cm="1">
        <f t="array" ref="K301">IF(F301=0," ",IF(ISBLANK(INDEX(Initial_Component_aggregator!H:H,MATCH(F301,Initial_Component_aggregator!B:B))),D301,INDEX(Initial_Component_aggregator!I:I,MATCH(J301,Initial_Component_aggregator!H:H))))</f>
        <v xml:space="preserve"> </v>
      </c>
      <c r="L301" t="str" cm="1">
        <f t="array" ref="L301">IF(F301=0," ",IF(ISBLANK(INDEX(Initial_Component_aggregator!H:H,MATCH(F301,Initial_Component_aggregator!B:B))),E301,INDEX(Initial_Component_aggregator!J:J,MATCH(J301,Initial_Component_aggregator!H:H))))</f>
        <v xml:space="preserve"> </v>
      </c>
      <c r="M301" t="str" cm="1">
        <f t="array" ref="M301">IF(F301=0," ",IF(ISBLANK(INDEX(Initial_Component_aggregator!H:H,MATCH(F301,Initial_Component_aggregator!B:B))),F301,INDEX(Initial_Component_aggregator!K:K,MATCH(J301,Initial_Component_aggregator!H:H))))</f>
        <v xml:space="preserve"> </v>
      </c>
    </row>
    <row r="302" spans="1:13" ht="36" customHeight="1">
      <c r="A302"/>
      <c r="B302"/>
      <c r="C302"/>
      <c r="D302"/>
      <c r="E302"/>
      <c r="F302"/>
      <c r="G302"/>
      <c r="H302" t="str">
        <f t="shared" si="4"/>
        <v xml:space="preserve"> </v>
      </c>
      <c r="I302" t="str" cm="1">
        <f t="array" ref="I302">IF(F302=0," ",IF(ISBLANK(INDEX(Initial_Component_aggregator!F:F,MATCH(F302,Initial_Component_aggregator!B:B,0))),"No change",INDEX(Initial_Component_aggregator!F:F,MATCH(F302,Initial_Component_aggregator!B:B,0))))</f>
        <v xml:space="preserve"> </v>
      </c>
      <c r="J302" t="str" cm="1">
        <f t="array" ref="J302">IF(F302=0," ",IF(ISBLANK(INDEX(Initial_Component_aggregator!H:H,MATCH(F302,Initial_Component_aggregator!B:B,0))),F302,INDEX(Initial_Component_aggregator!H:H,MATCH(F302,Initial_Component_aggregator!B:B,0))))</f>
        <v xml:space="preserve"> </v>
      </c>
      <c r="K302" t="str" cm="1">
        <f t="array" ref="K302">IF(F302=0," ",IF(ISBLANK(INDEX(Initial_Component_aggregator!H:H,MATCH(F302,Initial_Component_aggregator!B:B))),D302,INDEX(Initial_Component_aggregator!I:I,MATCH(J302,Initial_Component_aggregator!H:H))))</f>
        <v xml:space="preserve"> </v>
      </c>
      <c r="L302" t="str" cm="1">
        <f t="array" ref="L302">IF(F302=0," ",IF(ISBLANK(INDEX(Initial_Component_aggregator!H:H,MATCH(F302,Initial_Component_aggregator!B:B))),E302,INDEX(Initial_Component_aggregator!J:J,MATCH(J302,Initial_Component_aggregator!H:H))))</f>
        <v xml:space="preserve"> </v>
      </c>
      <c r="M302" t="str" cm="1">
        <f t="array" ref="M302">IF(F302=0," ",IF(ISBLANK(INDEX(Initial_Component_aggregator!H:H,MATCH(F302,Initial_Component_aggregator!B:B))),F302,INDEX(Initial_Component_aggregator!K:K,MATCH(J302,Initial_Component_aggregator!H:H))))</f>
        <v xml:space="preserve"> </v>
      </c>
    </row>
    <row r="303" spans="1:13" ht="36" customHeight="1">
      <c r="A303"/>
      <c r="B303"/>
      <c r="C303"/>
      <c r="D303"/>
      <c r="E303"/>
      <c r="F303"/>
      <c r="G303"/>
      <c r="H303" t="str">
        <f t="shared" si="4"/>
        <v xml:space="preserve"> </v>
      </c>
      <c r="I303" t="str" cm="1">
        <f t="array" ref="I303">IF(F303=0," ",IF(ISBLANK(INDEX(Initial_Component_aggregator!F:F,MATCH(F303,Initial_Component_aggregator!B:B,0))),"No change",INDEX(Initial_Component_aggregator!F:F,MATCH(F303,Initial_Component_aggregator!B:B,0))))</f>
        <v xml:space="preserve"> </v>
      </c>
      <c r="J303" t="str" cm="1">
        <f t="array" ref="J303">IF(F303=0," ",IF(ISBLANK(INDEX(Initial_Component_aggregator!H:H,MATCH(F303,Initial_Component_aggregator!B:B,0))),F303,INDEX(Initial_Component_aggregator!H:H,MATCH(F303,Initial_Component_aggregator!B:B,0))))</f>
        <v xml:space="preserve"> </v>
      </c>
      <c r="K303" t="str" cm="1">
        <f t="array" ref="K303">IF(F303=0," ",IF(ISBLANK(INDEX(Initial_Component_aggregator!H:H,MATCH(F303,Initial_Component_aggregator!B:B))),D303,INDEX(Initial_Component_aggregator!I:I,MATCH(J303,Initial_Component_aggregator!H:H))))</f>
        <v xml:space="preserve"> </v>
      </c>
      <c r="L303" t="str" cm="1">
        <f t="array" ref="L303">IF(F303=0," ",IF(ISBLANK(INDEX(Initial_Component_aggregator!H:H,MATCH(F303,Initial_Component_aggregator!B:B))),E303,INDEX(Initial_Component_aggregator!J:J,MATCH(J303,Initial_Component_aggregator!H:H))))</f>
        <v xml:space="preserve"> </v>
      </c>
      <c r="M303" t="str" cm="1">
        <f t="array" ref="M303">IF(F303=0," ",IF(ISBLANK(INDEX(Initial_Component_aggregator!H:H,MATCH(F303,Initial_Component_aggregator!B:B))),F303,INDEX(Initial_Component_aggregator!K:K,MATCH(J303,Initial_Component_aggregator!H:H))))</f>
        <v xml:space="preserve"> </v>
      </c>
    </row>
    <row r="304" spans="1:13" ht="36" customHeight="1">
      <c r="A304"/>
      <c r="B304"/>
      <c r="C304"/>
      <c r="D304"/>
      <c r="E304"/>
      <c r="F304"/>
      <c r="G304"/>
      <c r="H304" t="str">
        <f t="shared" si="4"/>
        <v xml:space="preserve"> </v>
      </c>
      <c r="I304" t="str" cm="1">
        <f t="array" ref="I304">IF(F304=0," ",IF(ISBLANK(INDEX(Initial_Component_aggregator!F:F,MATCH(F304,Initial_Component_aggregator!B:B,0))),"No change",INDEX(Initial_Component_aggregator!F:F,MATCH(F304,Initial_Component_aggregator!B:B,0))))</f>
        <v xml:space="preserve"> </v>
      </c>
      <c r="J304" t="str" cm="1">
        <f t="array" ref="J304">IF(F304=0," ",IF(ISBLANK(INDEX(Initial_Component_aggregator!H:H,MATCH(F304,Initial_Component_aggregator!B:B,0))),F304,INDEX(Initial_Component_aggregator!H:H,MATCH(F304,Initial_Component_aggregator!B:B,0))))</f>
        <v xml:space="preserve"> </v>
      </c>
      <c r="K304" t="str" cm="1">
        <f t="array" ref="K304">IF(F304=0," ",IF(ISBLANK(INDEX(Initial_Component_aggregator!H:H,MATCH(F304,Initial_Component_aggregator!B:B))),D304,INDEX(Initial_Component_aggregator!I:I,MATCH(J304,Initial_Component_aggregator!H:H))))</f>
        <v xml:space="preserve"> </v>
      </c>
      <c r="L304" t="str" cm="1">
        <f t="array" ref="L304">IF(F304=0," ",IF(ISBLANK(INDEX(Initial_Component_aggregator!H:H,MATCH(F304,Initial_Component_aggregator!B:B))),E304,INDEX(Initial_Component_aggregator!J:J,MATCH(J304,Initial_Component_aggregator!H:H))))</f>
        <v xml:space="preserve"> </v>
      </c>
      <c r="M304" t="str" cm="1">
        <f t="array" ref="M304">IF(F304=0," ",IF(ISBLANK(INDEX(Initial_Component_aggregator!H:H,MATCH(F304,Initial_Component_aggregator!B:B))),F304,INDEX(Initial_Component_aggregator!K:K,MATCH(J304,Initial_Component_aggregator!H:H))))</f>
        <v xml:space="preserve"> </v>
      </c>
    </row>
    <row r="305" spans="1:13" ht="36" customHeight="1">
      <c r="A305"/>
      <c r="B305"/>
      <c r="C305"/>
      <c r="D305"/>
      <c r="E305"/>
      <c r="F305"/>
      <c r="G305"/>
      <c r="H305" t="str">
        <f t="shared" si="4"/>
        <v xml:space="preserve"> </v>
      </c>
      <c r="I305" t="str" cm="1">
        <f t="array" ref="I305">IF(F305=0," ",IF(ISBLANK(INDEX(Initial_Component_aggregator!F:F,MATCH(F305,Initial_Component_aggregator!B:B,0))),"No change",INDEX(Initial_Component_aggregator!F:F,MATCH(F305,Initial_Component_aggregator!B:B,0))))</f>
        <v xml:space="preserve"> </v>
      </c>
      <c r="J305" t="str" cm="1">
        <f t="array" ref="J305">IF(F305=0," ",IF(ISBLANK(INDEX(Initial_Component_aggregator!H:H,MATCH(F305,Initial_Component_aggregator!B:B,0))),F305,INDEX(Initial_Component_aggregator!H:H,MATCH(F305,Initial_Component_aggregator!B:B,0))))</f>
        <v xml:space="preserve"> </v>
      </c>
      <c r="K305" t="str" cm="1">
        <f t="array" ref="K305">IF(F305=0," ",IF(ISBLANK(INDEX(Initial_Component_aggregator!H:H,MATCH(F305,Initial_Component_aggregator!B:B))),D305,INDEX(Initial_Component_aggregator!I:I,MATCH(J305,Initial_Component_aggregator!H:H))))</f>
        <v xml:space="preserve"> </v>
      </c>
      <c r="L305" t="str" cm="1">
        <f t="array" ref="L305">IF(F305=0," ",IF(ISBLANK(INDEX(Initial_Component_aggregator!H:H,MATCH(F305,Initial_Component_aggregator!B:B))),E305,INDEX(Initial_Component_aggregator!J:J,MATCH(J305,Initial_Component_aggregator!H:H))))</f>
        <v xml:space="preserve"> </v>
      </c>
      <c r="M305" t="str" cm="1">
        <f t="array" ref="M305">IF(F305=0," ",IF(ISBLANK(INDEX(Initial_Component_aggregator!H:H,MATCH(F305,Initial_Component_aggregator!B:B))),F305,INDEX(Initial_Component_aggregator!K:K,MATCH(J305,Initial_Component_aggregator!H:H))))</f>
        <v xml:space="preserve"> </v>
      </c>
    </row>
    <row r="306" spans="1:13" ht="36" customHeight="1">
      <c r="A306"/>
      <c r="B306"/>
      <c r="C306"/>
      <c r="D306"/>
      <c r="E306"/>
      <c r="F306"/>
      <c r="G306"/>
      <c r="H306" t="str">
        <f t="shared" si="4"/>
        <v xml:space="preserve"> </v>
      </c>
      <c r="I306" t="str" cm="1">
        <f t="array" ref="I306">IF(F306=0," ",IF(ISBLANK(INDEX(Initial_Component_aggregator!F:F,MATCH(F306,Initial_Component_aggregator!B:B,0))),"No change",INDEX(Initial_Component_aggregator!F:F,MATCH(F306,Initial_Component_aggregator!B:B,0))))</f>
        <v xml:space="preserve"> </v>
      </c>
      <c r="J306" t="str" cm="1">
        <f t="array" ref="J306">IF(F306=0," ",IF(ISBLANK(INDEX(Initial_Component_aggregator!H:H,MATCH(F306,Initial_Component_aggregator!B:B,0))),F306,INDEX(Initial_Component_aggregator!H:H,MATCH(F306,Initial_Component_aggregator!B:B,0))))</f>
        <v xml:space="preserve"> </v>
      </c>
      <c r="K306" t="str" cm="1">
        <f t="array" ref="K306">IF(F306=0," ",IF(ISBLANK(INDEX(Initial_Component_aggregator!H:H,MATCH(F306,Initial_Component_aggregator!B:B))),D306,INDEX(Initial_Component_aggregator!I:I,MATCH(J306,Initial_Component_aggregator!H:H))))</f>
        <v xml:space="preserve"> </v>
      </c>
      <c r="L306" t="str" cm="1">
        <f t="array" ref="L306">IF(F306=0," ",IF(ISBLANK(INDEX(Initial_Component_aggregator!H:H,MATCH(F306,Initial_Component_aggregator!B:B))),E306,INDEX(Initial_Component_aggregator!J:J,MATCH(J306,Initial_Component_aggregator!H:H))))</f>
        <v xml:space="preserve"> </v>
      </c>
      <c r="M306" t="str" cm="1">
        <f t="array" ref="M306">IF(F306=0," ",IF(ISBLANK(INDEX(Initial_Component_aggregator!H:H,MATCH(F306,Initial_Component_aggregator!B:B))),F306,INDEX(Initial_Component_aggregator!K:K,MATCH(J306,Initial_Component_aggregator!H:H))))</f>
        <v xml:space="preserve"> </v>
      </c>
    </row>
    <row r="307" spans="1:13" ht="36" customHeight="1">
      <c r="A307"/>
      <c r="B307"/>
      <c r="C307"/>
      <c r="D307"/>
      <c r="E307"/>
      <c r="F307"/>
      <c r="G307"/>
      <c r="H307" t="str">
        <f t="shared" si="4"/>
        <v xml:space="preserve"> </v>
      </c>
      <c r="I307" t="str" cm="1">
        <f t="array" ref="I307">IF(F307=0," ",IF(ISBLANK(INDEX(Initial_Component_aggregator!F:F,MATCH(F307,Initial_Component_aggregator!B:B,0))),"No change",INDEX(Initial_Component_aggregator!F:F,MATCH(F307,Initial_Component_aggregator!B:B,0))))</f>
        <v xml:space="preserve"> </v>
      </c>
      <c r="J307" t="str" cm="1">
        <f t="array" ref="J307">IF(F307=0," ",IF(ISBLANK(INDEX(Initial_Component_aggregator!H:H,MATCH(F307,Initial_Component_aggregator!B:B,0))),F307,INDEX(Initial_Component_aggregator!H:H,MATCH(F307,Initial_Component_aggregator!B:B,0))))</f>
        <v xml:space="preserve"> </v>
      </c>
      <c r="K307" t="str" cm="1">
        <f t="array" ref="K307">IF(F307=0," ",IF(ISBLANK(INDEX(Initial_Component_aggregator!H:H,MATCH(F307,Initial_Component_aggregator!B:B))),D307,INDEX(Initial_Component_aggregator!I:I,MATCH(J307,Initial_Component_aggregator!H:H))))</f>
        <v xml:space="preserve"> </v>
      </c>
      <c r="L307" t="str" cm="1">
        <f t="array" ref="L307">IF(F307=0," ",IF(ISBLANK(INDEX(Initial_Component_aggregator!H:H,MATCH(F307,Initial_Component_aggregator!B:B))),E307,INDEX(Initial_Component_aggregator!J:J,MATCH(J307,Initial_Component_aggregator!H:H))))</f>
        <v xml:space="preserve"> </v>
      </c>
      <c r="M307" t="str" cm="1">
        <f t="array" ref="M307">IF(F307=0," ",IF(ISBLANK(INDEX(Initial_Component_aggregator!H:H,MATCH(F307,Initial_Component_aggregator!B:B))),F307,INDEX(Initial_Component_aggregator!K:K,MATCH(J307,Initial_Component_aggregator!H:H))))</f>
        <v xml:space="preserve"> </v>
      </c>
    </row>
    <row r="308" spans="1:13" ht="36" customHeight="1">
      <c r="A308"/>
      <c r="B308"/>
      <c r="C308"/>
      <c r="D308"/>
      <c r="E308"/>
      <c r="F308"/>
      <c r="G308"/>
      <c r="H308" t="str">
        <f t="shared" si="4"/>
        <v xml:space="preserve"> </v>
      </c>
      <c r="I308" t="str" cm="1">
        <f t="array" ref="I308">IF(F308=0," ",IF(ISBLANK(INDEX(Initial_Component_aggregator!F:F,MATCH(F308,Initial_Component_aggregator!B:B,0))),"No change",INDEX(Initial_Component_aggregator!F:F,MATCH(F308,Initial_Component_aggregator!B:B,0))))</f>
        <v xml:space="preserve"> </v>
      </c>
      <c r="J308" t="str" cm="1">
        <f t="array" ref="J308">IF(F308=0," ",IF(ISBLANK(INDEX(Initial_Component_aggregator!H:H,MATCH(F308,Initial_Component_aggregator!B:B,0))),F308,INDEX(Initial_Component_aggregator!H:H,MATCH(F308,Initial_Component_aggregator!B:B,0))))</f>
        <v xml:space="preserve"> </v>
      </c>
      <c r="K308" t="str" cm="1">
        <f t="array" ref="K308">IF(F308=0," ",IF(ISBLANK(INDEX(Initial_Component_aggregator!H:H,MATCH(F308,Initial_Component_aggregator!B:B))),D308,INDEX(Initial_Component_aggregator!I:I,MATCH(J308,Initial_Component_aggregator!H:H))))</f>
        <v xml:space="preserve"> </v>
      </c>
      <c r="L308" t="str" cm="1">
        <f t="array" ref="L308">IF(F308=0," ",IF(ISBLANK(INDEX(Initial_Component_aggregator!H:H,MATCH(F308,Initial_Component_aggregator!B:B))),E308,INDEX(Initial_Component_aggregator!J:J,MATCH(J308,Initial_Component_aggregator!H:H))))</f>
        <v xml:space="preserve"> </v>
      </c>
      <c r="M308" t="str" cm="1">
        <f t="array" ref="M308">IF(F308=0," ",IF(ISBLANK(INDEX(Initial_Component_aggregator!H:H,MATCH(F308,Initial_Component_aggregator!B:B))),F308,INDEX(Initial_Component_aggregator!K:K,MATCH(J308,Initial_Component_aggregator!H:H))))</f>
        <v xml:space="preserve"> </v>
      </c>
    </row>
    <row r="309" spans="1:13" ht="36" customHeight="1">
      <c r="A309"/>
      <c r="B309"/>
      <c r="C309"/>
      <c r="D309"/>
      <c r="E309"/>
      <c r="F309"/>
      <c r="G309"/>
      <c r="H309" t="str">
        <f t="shared" si="4"/>
        <v xml:space="preserve"> </v>
      </c>
      <c r="I309" t="str" cm="1">
        <f t="array" ref="I309">IF(F309=0," ",IF(ISBLANK(INDEX(Initial_Component_aggregator!F:F,MATCH(F309,Initial_Component_aggregator!B:B,0))),"No change",INDEX(Initial_Component_aggregator!F:F,MATCH(F309,Initial_Component_aggregator!B:B,0))))</f>
        <v xml:space="preserve"> </v>
      </c>
      <c r="J309" t="str" cm="1">
        <f t="array" ref="J309">IF(F309=0," ",IF(ISBLANK(INDEX(Initial_Component_aggregator!H:H,MATCH(F309,Initial_Component_aggregator!B:B,0))),F309,INDEX(Initial_Component_aggregator!H:H,MATCH(F309,Initial_Component_aggregator!B:B,0))))</f>
        <v xml:space="preserve"> </v>
      </c>
      <c r="K309" t="str" cm="1">
        <f t="array" ref="K309">IF(F309=0," ",IF(ISBLANK(INDEX(Initial_Component_aggregator!H:H,MATCH(F309,Initial_Component_aggregator!B:B))),D309,INDEX(Initial_Component_aggregator!I:I,MATCH(J309,Initial_Component_aggregator!H:H))))</f>
        <v xml:space="preserve"> </v>
      </c>
      <c r="L309" t="str" cm="1">
        <f t="array" ref="L309">IF(F309=0," ",IF(ISBLANK(INDEX(Initial_Component_aggregator!H:H,MATCH(F309,Initial_Component_aggregator!B:B))),E309,INDEX(Initial_Component_aggregator!J:J,MATCH(J309,Initial_Component_aggregator!H:H))))</f>
        <v xml:space="preserve"> </v>
      </c>
      <c r="M309" t="str" cm="1">
        <f t="array" ref="M309">IF(F309=0," ",IF(ISBLANK(INDEX(Initial_Component_aggregator!H:H,MATCH(F309,Initial_Component_aggregator!B:B))),F309,INDEX(Initial_Component_aggregator!K:K,MATCH(J309,Initial_Component_aggregator!H:H))))</f>
        <v xml:space="preserve"> </v>
      </c>
    </row>
    <row r="310" spans="1:13" ht="36" customHeight="1">
      <c r="A310"/>
      <c r="B310"/>
      <c r="C310"/>
      <c r="D310"/>
      <c r="E310"/>
      <c r="F310"/>
      <c r="G310"/>
      <c r="H310" t="str">
        <f t="shared" si="4"/>
        <v xml:space="preserve"> </v>
      </c>
      <c r="I310" t="str" cm="1">
        <f t="array" ref="I310">IF(F310=0," ",IF(ISBLANK(INDEX(Initial_Component_aggregator!F:F,MATCH(F310,Initial_Component_aggregator!B:B,0))),"No change",INDEX(Initial_Component_aggregator!F:F,MATCH(F310,Initial_Component_aggregator!B:B,0))))</f>
        <v xml:space="preserve"> </v>
      </c>
      <c r="J310" t="str" cm="1">
        <f t="array" ref="J310">IF(F310=0," ",IF(ISBLANK(INDEX(Initial_Component_aggregator!H:H,MATCH(F310,Initial_Component_aggregator!B:B,0))),F310,INDEX(Initial_Component_aggregator!H:H,MATCH(F310,Initial_Component_aggregator!B:B,0))))</f>
        <v xml:space="preserve"> </v>
      </c>
      <c r="K310" t="str" cm="1">
        <f t="array" ref="K310">IF(F310=0," ",IF(ISBLANK(INDEX(Initial_Component_aggregator!H:H,MATCH(F310,Initial_Component_aggregator!B:B))),D310,INDEX(Initial_Component_aggregator!I:I,MATCH(J310,Initial_Component_aggregator!H:H))))</f>
        <v xml:space="preserve"> </v>
      </c>
      <c r="L310" t="str" cm="1">
        <f t="array" ref="L310">IF(F310=0," ",IF(ISBLANK(INDEX(Initial_Component_aggregator!H:H,MATCH(F310,Initial_Component_aggregator!B:B))),E310,INDEX(Initial_Component_aggregator!J:J,MATCH(J310,Initial_Component_aggregator!H:H))))</f>
        <v xml:space="preserve"> </v>
      </c>
      <c r="M310" t="str" cm="1">
        <f t="array" ref="M310">IF(F310=0," ",IF(ISBLANK(INDEX(Initial_Component_aggregator!H:H,MATCH(F310,Initial_Component_aggregator!B:B))),F310,INDEX(Initial_Component_aggregator!K:K,MATCH(J310,Initial_Component_aggregator!H:H))))</f>
        <v xml:space="preserve"> </v>
      </c>
    </row>
    <row r="311" spans="1:13" ht="36" customHeight="1">
      <c r="A311"/>
      <c r="B311"/>
      <c r="C311"/>
      <c r="D311"/>
      <c r="E311"/>
      <c r="F311"/>
      <c r="G311"/>
      <c r="H311" t="str">
        <f t="shared" si="4"/>
        <v xml:space="preserve"> </v>
      </c>
      <c r="I311" t="str" cm="1">
        <f t="array" ref="I311">IF(F311=0," ",IF(ISBLANK(INDEX(Initial_Component_aggregator!F:F,MATCH(F311,Initial_Component_aggregator!B:B,0))),"No change",INDEX(Initial_Component_aggregator!F:F,MATCH(F311,Initial_Component_aggregator!B:B,0))))</f>
        <v xml:space="preserve"> </v>
      </c>
      <c r="J311" t="str" cm="1">
        <f t="array" ref="J311">IF(F311=0," ",IF(ISBLANK(INDEX(Initial_Component_aggregator!H:H,MATCH(F311,Initial_Component_aggregator!B:B,0))),F311,INDEX(Initial_Component_aggregator!H:H,MATCH(F311,Initial_Component_aggregator!B:B,0))))</f>
        <v xml:space="preserve"> </v>
      </c>
      <c r="K311" t="str" cm="1">
        <f t="array" ref="K311">IF(F311=0," ",IF(ISBLANK(INDEX(Initial_Component_aggregator!H:H,MATCH(F311,Initial_Component_aggregator!B:B))),D311,INDEX(Initial_Component_aggregator!I:I,MATCH(J311,Initial_Component_aggregator!H:H))))</f>
        <v xml:space="preserve"> </v>
      </c>
      <c r="L311" t="str" cm="1">
        <f t="array" ref="L311">IF(F311=0," ",IF(ISBLANK(INDEX(Initial_Component_aggregator!H:H,MATCH(F311,Initial_Component_aggregator!B:B))),E311,INDEX(Initial_Component_aggregator!J:J,MATCH(J311,Initial_Component_aggregator!H:H))))</f>
        <v xml:space="preserve"> </v>
      </c>
      <c r="M311" t="str" cm="1">
        <f t="array" ref="M311">IF(F311=0," ",IF(ISBLANK(INDEX(Initial_Component_aggregator!H:H,MATCH(F311,Initial_Component_aggregator!B:B))),F311,INDEX(Initial_Component_aggregator!K:K,MATCH(J311,Initial_Component_aggregator!H:H))))</f>
        <v xml:space="preserve"> </v>
      </c>
    </row>
    <row r="312" spans="1:13" ht="36" customHeight="1">
      <c r="A312"/>
      <c r="B312"/>
      <c r="C312"/>
      <c r="D312"/>
      <c r="E312"/>
      <c r="F312"/>
      <c r="G312"/>
      <c r="H312" t="str">
        <f t="shared" si="4"/>
        <v xml:space="preserve"> </v>
      </c>
      <c r="I312" t="str" cm="1">
        <f t="array" ref="I312">IF(F312=0," ",IF(ISBLANK(INDEX(Initial_Component_aggregator!F:F,MATCH(F312,Initial_Component_aggregator!B:B,0))),"No change",INDEX(Initial_Component_aggregator!F:F,MATCH(F312,Initial_Component_aggregator!B:B,0))))</f>
        <v xml:space="preserve"> </v>
      </c>
      <c r="J312" t="str" cm="1">
        <f t="array" ref="J312">IF(F312=0," ",IF(ISBLANK(INDEX(Initial_Component_aggregator!H:H,MATCH(F312,Initial_Component_aggregator!B:B,0))),F312,INDEX(Initial_Component_aggregator!H:H,MATCH(F312,Initial_Component_aggregator!B:B,0))))</f>
        <v xml:space="preserve"> </v>
      </c>
      <c r="K312" t="str" cm="1">
        <f t="array" ref="K312">IF(F312=0," ",IF(ISBLANK(INDEX(Initial_Component_aggregator!H:H,MATCH(F312,Initial_Component_aggregator!B:B))),D312,INDEX(Initial_Component_aggregator!I:I,MATCH(J312,Initial_Component_aggregator!H:H))))</f>
        <v xml:space="preserve"> </v>
      </c>
      <c r="L312" t="str" cm="1">
        <f t="array" ref="L312">IF(F312=0," ",IF(ISBLANK(INDEX(Initial_Component_aggregator!H:H,MATCH(F312,Initial_Component_aggregator!B:B))),E312,INDEX(Initial_Component_aggregator!J:J,MATCH(J312,Initial_Component_aggregator!H:H))))</f>
        <v xml:space="preserve"> </v>
      </c>
      <c r="M312" t="str" cm="1">
        <f t="array" ref="M312">IF(F312=0," ",IF(ISBLANK(INDEX(Initial_Component_aggregator!H:H,MATCH(F312,Initial_Component_aggregator!B:B))),F312,INDEX(Initial_Component_aggregator!K:K,MATCH(J312,Initial_Component_aggregator!H:H))))</f>
        <v xml:space="preserve"> </v>
      </c>
    </row>
    <row r="313" spans="1:13" ht="36" customHeight="1">
      <c r="A313"/>
      <c r="B313"/>
      <c r="C313"/>
      <c r="D313"/>
      <c r="E313"/>
      <c r="F313"/>
      <c r="G313"/>
      <c r="H313" t="str">
        <f t="shared" si="4"/>
        <v xml:space="preserve"> </v>
      </c>
      <c r="I313" t="str" cm="1">
        <f t="array" ref="I313">IF(F313=0," ",IF(ISBLANK(INDEX(Initial_Component_aggregator!F:F,MATCH(F313,Initial_Component_aggregator!B:B,0))),"No change",INDEX(Initial_Component_aggregator!F:F,MATCH(F313,Initial_Component_aggregator!B:B,0))))</f>
        <v xml:space="preserve"> </v>
      </c>
      <c r="J313" t="str" cm="1">
        <f t="array" ref="J313">IF(F313=0," ",IF(ISBLANK(INDEX(Initial_Component_aggregator!H:H,MATCH(F313,Initial_Component_aggregator!B:B,0))),F313,INDEX(Initial_Component_aggregator!H:H,MATCH(F313,Initial_Component_aggregator!B:B,0))))</f>
        <v xml:space="preserve"> </v>
      </c>
      <c r="K313" t="str" cm="1">
        <f t="array" ref="K313">IF(F313=0," ",IF(ISBLANK(INDEX(Initial_Component_aggregator!H:H,MATCH(F313,Initial_Component_aggregator!B:B))),D313,INDEX(Initial_Component_aggregator!I:I,MATCH(J313,Initial_Component_aggregator!H:H))))</f>
        <v xml:space="preserve"> </v>
      </c>
      <c r="L313" t="str" cm="1">
        <f t="array" ref="L313">IF(F313=0," ",IF(ISBLANK(INDEX(Initial_Component_aggregator!H:H,MATCH(F313,Initial_Component_aggregator!B:B))),E313,INDEX(Initial_Component_aggregator!J:J,MATCH(J313,Initial_Component_aggregator!H:H))))</f>
        <v xml:space="preserve"> </v>
      </c>
      <c r="M313" t="str" cm="1">
        <f t="array" ref="M313">IF(F313=0," ",IF(ISBLANK(INDEX(Initial_Component_aggregator!H:H,MATCH(F313,Initial_Component_aggregator!B:B))),F313,INDEX(Initial_Component_aggregator!K:K,MATCH(J313,Initial_Component_aggregator!H:H))))</f>
        <v xml:space="preserve"> </v>
      </c>
    </row>
    <row r="314" spans="1:13" ht="36" customHeight="1">
      <c r="A314"/>
      <c r="B314"/>
      <c r="C314"/>
      <c r="D314"/>
      <c r="E314"/>
      <c r="F314"/>
      <c r="G314"/>
      <c r="H314" t="str">
        <f t="shared" si="4"/>
        <v xml:space="preserve"> </v>
      </c>
      <c r="I314" t="str" cm="1">
        <f t="array" ref="I314">IF(F314=0," ",IF(ISBLANK(INDEX(Initial_Component_aggregator!F:F,MATCH(F314,Initial_Component_aggregator!B:B,0))),"No change",INDEX(Initial_Component_aggregator!F:F,MATCH(F314,Initial_Component_aggregator!B:B,0))))</f>
        <v xml:space="preserve"> </v>
      </c>
      <c r="J314" t="str" cm="1">
        <f t="array" ref="J314">IF(F314=0," ",IF(ISBLANK(INDEX(Initial_Component_aggregator!H:H,MATCH(F314,Initial_Component_aggregator!B:B,0))),F314,INDEX(Initial_Component_aggregator!H:H,MATCH(F314,Initial_Component_aggregator!B:B,0))))</f>
        <v xml:space="preserve"> </v>
      </c>
      <c r="K314" t="str" cm="1">
        <f t="array" ref="K314">IF(F314=0," ",IF(ISBLANK(INDEX(Initial_Component_aggregator!H:H,MATCH(F314,Initial_Component_aggregator!B:B))),D314,INDEX(Initial_Component_aggregator!I:I,MATCH(J314,Initial_Component_aggregator!H:H))))</f>
        <v xml:space="preserve"> </v>
      </c>
      <c r="L314" t="str" cm="1">
        <f t="array" ref="L314">IF(F314=0," ",IF(ISBLANK(INDEX(Initial_Component_aggregator!H:H,MATCH(F314,Initial_Component_aggregator!B:B))),E314,INDEX(Initial_Component_aggregator!J:J,MATCH(J314,Initial_Component_aggregator!H:H))))</f>
        <v xml:space="preserve"> </v>
      </c>
      <c r="M314" t="str" cm="1">
        <f t="array" ref="M314">IF(F314=0," ",IF(ISBLANK(INDEX(Initial_Component_aggregator!H:H,MATCH(F314,Initial_Component_aggregator!B:B))),F314,INDEX(Initial_Component_aggregator!K:K,MATCH(J314,Initial_Component_aggregator!H:H))))</f>
        <v xml:space="preserve"> </v>
      </c>
    </row>
    <row r="315" spans="1:13" ht="36" customHeight="1">
      <c r="A315"/>
      <c r="B315"/>
      <c r="C315"/>
      <c r="D315"/>
      <c r="E315"/>
      <c r="F315"/>
      <c r="G315"/>
      <c r="H315" t="str">
        <f t="shared" si="4"/>
        <v xml:space="preserve"> </v>
      </c>
      <c r="I315" t="str" cm="1">
        <f t="array" ref="I315">IF(F315=0," ",IF(ISBLANK(INDEX(Initial_Component_aggregator!F:F,MATCH(F315,Initial_Component_aggregator!B:B,0))),"No change",INDEX(Initial_Component_aggregator!F:F,MATCH(F315,Initial_Component_aggregator!B:B,0))))</f>
        <v xml:space="preserve"> </v>
      </c>
      <c r="J315" t="str" cm="1">
        <f t="array" ref="J315">IF(F315=0," ",IF(ISBLANK(INDEX(Initial_Component_aggregator!H:H,MATCH(F315,Initial_Component_aggregator!B:B,0))),F315,INDEX(Initial_Component_aggregator!H:H,MATCH(F315,Initial_Component_aggregator!B:B,0))))</f>
        <v xml:space="preserve"> </v>
      </c>
      <c r="K315" t="str" cm="1">
        <f t="array" ref="K315">IF(F315=0," ",IF(ISBLANK(INDEX(Initial_Component_aggregator!H:H,MATCH(F315,Initial_Component_aggregator!B:B))),D315,INDEX(Initial_Component_aggregator!I:I,MATCH(J315,Initial_Component_aggregator!H:H))))</f>
        <v xml:space="preserve"> </v>
      </c>
      <c r="L315" t="str" cm="1">
        <f t="array" ref="L315">IF(F315=0," ",IF(ISBLANK(INDEX(Initial_Component_aggregator!H:H,MATCH(F315,Initial_Component_aggregator!B:B))),E315,INDEX(Initial_Component_aggregator!J:J,MATCH(J315,Initial_Component_aggregator!H:H))))</f>
        <v xml:space="preserve"> </v>
      </c>
      <c r="M315" t="str" cm="1">
        <f t="array" ref="M315">IF(F315=0," ",IF(ISBLANK(INDEX(Initial_Component_aggregator!H:H,MATCH(F315,Initial_Component_aggregator!B:B))),F315,INDEX(Initial_Component_aggregator!K:K,MATCH(J315,Initial_Component_aggregator!H:H))))</f>
        <v xml:space="preserve"> </v>
      </c>
    </row>
    <row r="316" spans="1:13" ht="36" customHeight="1">
      <c r="A316"/>
      <c r="B316"/>
      <c r="C316"/>
      <c r="D316"/>
      <c r="E316"/>
      <c r="F316"/>
      <c r="G316"/>
      <c r="H316" t="str">
        <f t="shared" si="4"/>
        <v xml:space="preserve"> </v>
      </c>
      <c r="I316" t="str" cm="1">
        <f t="array" ref="I316">IF(F316=0," ",IF(ISBLANK(INDEX(Initial_Component_aggregator!F:F,MATCH(F316,Initial_Component_aggregator!B:B,0))),"No change",INDEX(Initial_Component_aggregator!F:F,MATCH(F316,Initial_Component_aggregator!B:B,0))))</f>
        <v xml:space="preserve"> </v>
      </c>
      <c r="J316" t="str" cm="1">
        <f t="array" ref="J316">IF(F316=0," ",IF(ISBLANK(INDEX(Initial_Component_aggregator!H:H,MATCH(F316,Initial_Component_aggregator!B:B,0))),F316,INDEX(Initial_Component_aggregator!H:H,MATCH(F316,Initial_Component_aggregator!B:B,0))))</f>
        <v xml:space="preserve"> </v>
      </c>
      <c r="K316" t="str" cm="1">
        <f t="array" ref="K316">IF(F316=0," ",IF(ISBLANK(INDEX(Initial_Component_aggregator!H:H,MATCH(F316,Initial_Component_aggregator!B:B))),D316,INDEX(Initial_Component_aggregator!I:I,MATCH(J316,Initial_Component_aggregator!H:H))))</f>
        <v xml:space="preserve"> </v>
      </c>
      <c r="L316" t="str" cm="1">
        <f t="array" ref="L316">IF(F316=0," ",IF(ISBLANK(INDEX(Initial_Component_aggregator!H:H,MATCH(F316,Initial_Component_aggregator!B:B))),E316,INDEX(Initial_Component_aggregator!J:J,MATCH(J316,Initial_Component_aggregator!H:H))))</f>
        <v xml:space="preserve"> </v>
      </c>
      <c r="M316" t="str" cm="1">
        <f t="array" ref="M316">IF(F316=0," ",IF(ISBLANK(INDEX(Initial_Component_aggregator!H:H,MATCH(F316,Initial_Component_aggregator!B:B))),F316,INDEX(Initial_Component_aggregator!K:K,MATCH(J316,Initial_Component_aggregator!H:H))))</f>
        <v xml:space="preserve"> </v>
      </c>
    </row>
    <row r="317" spans="1:13" ht="36" customHeight="1">
      <c r="A317"/>
      <c r="B317"/>
      <c r="C317"/>
      <c r="D317"/>
      <c r="E317"/>
      <c r="F317"/>
      <c r="G317"/>
      <c r="H317" t="str">
        <f t="shared" si="4"/>
        <v xml:space="preserve"> </v>
      </c>
      <c r="I317" t="str" cm="1">
        <f t="array" ref="I317">IF(F317=0," ",IF(ISBLANK(INDEX(Initial_Component_aggregator!F:F,MATCH(F317,Initial_Component_aggregator!B:B,0))),"No change",INDEX(Initial_Component_aggregator!F:F,MATCH(F317,Initial_Component_aggregator!B:B,0))))</f>
        <v xml:space="preserve"> </v>
      </c>
      <c r="J317" t="str" cm="1">
        <f t="array" ref="J317">IF(F317=0," ",IF(ISBLANK(INDEX(Initial_Component_aggregator!H:H,MATCH(F317,Initial_Component_aggregator!B:B,0))),F317,INDEX(Initial_Component_aggregator!H:H,MATCH(F317,Initial_Component_aggregator!B:B,0))))</f>
        <v xml:space="preserve"> </v>
      </c>
      <c r="K317" t="str" cm="1">
        <f t="array" ref="K317">IF(F317=0," ",IF(ISBLANK(INDEX(Initial_Component_aggregator!H:H,MATCH(F317,Initial_Component_aggregator!B:B))),D317,INDEX(Initial_Component_aggregator!I:I,MATCH(J317,Initial_Component_aggregator!H:H))))</f>
        <v xml:space="preserve"> </v>
      </c>
      <c r="L317" t="str" cm="1">
        <f t="array" ref="L317">IF(F317=0," ",IF(ISBLANK(INDEX(Initial_Component_aggregator!H:H,MATCH(F317,Initial_Component_aggregator!B:B))),E317,INDEX(Initial_Component_aggregator!J:J,MATCH(J317,Initial_Component_aggregator!H:H))))</f>
        <v xml:space="preserve"> </v>
      </c>
      <c r="M317" t="str" cm="1">
        <f t="array" ref="M317">IF(F317=0," ",IF(ISBLANK(INDEX(Initial_Component_aggregator!H:H,MATCH(F317,Initial_Component_aggregator!B:B))),F317,INDEX(Initial_Component_aggregator!K:K,MATCH(J317,Initial_Component_aggregator!H:H))))</f>
        <v xml:space="preserve"> </v>
      </c>
    </row>
    <row r="318" spans="1:13" ht="36" customHeight="1">
      <c r="A318"/>
      <c r="B318"/>
      <c r="C318"/>
      <c r="D318"/>
      <c r="E318"/>
      <c r="F318"/>
      <c r="G318"/>
      <c r="H318" t="str">
        <f t="shared" si="4"/>
        <v xml:space="preserve"> </v>
      </c>
      <c r="I318" t="str" cm="1">
        <f t="array" ref="I318">IF(F318=0," ",IF(ISBLANK(INDEX(Initial_Component_aggregator!F:F,MATCH(F318,Initial_Component_aggregator!B:B,0))),"No change",INDEX(Initial_Component_aggregator!F:F,MATCH(F318,Initial_Component_aggregator!B:B,0))))</f>
        <v xml:space="preserve"> </v>
      </c>
      <c r="J318" t="str" cm="1">
        <f t="array" ref="J318">IF(F318=0," ",IF(ISBLANK(INDEX(Initial_Component_aggregator!H:H,MATCH(F318,Initial_Component_aggregator!B:B,0))),F318,INDEX(Initial_Component_aggregator!H:H,MATCH(F318,Initial_Component_aggregator!B:B,0))))</f>
        <v xml:space="preserve"> </v>
      </c>
      <c r="K318" t="str" cm="1">
        <f t="array" ref="K318">IF(F318=0," ",IF(ISBLANK(INDEX(Initial_Component_aggregator!H:H,MATCH(F318,Initial_Component_aggregator!B:B))),D318,INDEX(Initial_Component_aggregator!I:I,MATCH(J318,Initial_Component_aggregator!H:H))))</f>
        <v xml:space="preserve"> </v>
      </c>
      <c r="L318" t="str" cm="1">
        <f t="array" ref="L318">IF(F318=0," ",IF(ISBLANK(INDEX(Initial_Component_aggregator!H:H,MATCH(F318,Initial_Component_aggregator!B:B))),E318,INDEX(Initial_Component_aggregator!J:J,MATCH(J318,Initial_Component_aggregator!H:H))))</f>
        <v xml:space="preserve"> </v>
      </c>
      <c r="M318" t="str" cm="1">
        <f t="array" ref="M318">IF(F318=0," ",IF(ISBLANK(INDEX(Initial_Component_aggregator!H:H,MATCH(F318,Initial_Component_aggregator!B:B))),F318,INDEX(Initial_Component_aggregator!K:K,MATCH(J318,Initial_Component_aggregator!H:H))))</f>
        <v xml:space="preserve"> </v>
      </c>
    </row>
    <row r="319" spans="1:13" ht="36" customHeight="1">
      <c r="A319"/>
      <c r="B319"/>
      <c r="C319"/>
      <c r="D319"/>
      <c r="E319"/>
      <c r="F319"/>
      <c r="G319"/>
      <c r="H319" t="str">
        <f t="shared" si="4"/>
        <v xml:space="preserve"> </v>
      </c>
      <c r="I319" t="str" cm="1">
        <f t="array" ref="I319">IF(F319=0," ",IF(ISBLANK(INDEX(Initial_Component_aggregator!F:F,MATCH(F319,Initial_Component_aggregator!B:B,0))),"No change",INDEX(Initial_Component_aggregator!F:F,MATCH(F319,Initial_Component_aggregator!B:B,0))))</f>
        <v xml:space="preserve"> </v>
      </c>
      <c r="J319" t="str" cm="1">
        <f t="array" ref="J319">IF(F319=0," ",IF(ISBLANK(INDEX(Initial_Component_aggregator!H:H,MATCH(F319,Initial_Component_aggregator!B:B,0))),F319,INDEX(Initial_Component_aggregator!H:H,MATCH(F319,Initial_Component_aggregator!B:B,0))))</f>
        <v xml:space="preserve"> </v>
      </c>
      <c r="K319" t="str" cm="1">
        <f t="array" ref="K319">IF(F319=0," ",IF(ISBLANK(INDEX(Initial_Component_aggregator!H:H,MATCH(F319,Initial_Component_aggregator!B:B))),D319,INDEX(Initial_Component_aggregator!I:I,MATCH(J319,Initial_Component_aggregator!H:H))))</f>
        <v xml:space="preserve"> </v>
      </c>
      <c r="L319" t="str" cm="1">
        <f t="array" ref="L319">IF(F319=0," ",IF(ISBLANK(INDEX(Initial_Component_aggregator!H:H,MATCH(F319,Initial_Component_aggregator!B:B))),E319,INDEX(Initial_Component_aggregator!J:J,MATCH(J319,Initial_Component_aggregator!H:H))))</f>
        <v xml:space="preserve"> </v>
      </c>
      <c r="M319" t="str" cm="1">
        <f t="array" ref="M319">IF(F319=0," ",IF(ISBLANK(INDEX(Initial_Component_aggregator!H:H,MATCH(F319,Initial_Component_aggregator!B:B))),F319,INDEX(Initial_Component_aggregator!K:K,MATCH(J319,Initial_Component_aggregator!H:H))))</f>
        <v xml:space="preserve"> </v>
      </c>
    </row>
    <row r="320" spans="1:13" ht="36" customHeight="1">
      <c r="A320"/>
      <c r="B320"/>
      <c r="C320"/>
      <c r="D320"/>
      <c r="E320"/>
      <c r="F320"/>
      <c r="G320"/>
      <c r="H320" t="str">
        <f t="shared" si="4"/>
        <v xml:space="preserve"> </v>
      </c>
      <c r="I320" t="str" cm="1">
        <f t="array" ref="I320">IF(F320=0," ",IF(ISBLANK(INDEX(Initial_Component_aggregator!F:F,MATCH(F320,Initial_Component_aggregator!B:B,0))),"No change",INDEX(Initial_Component_aggregator!F:F,MATCH(F320,Initial_Component_aggregator!B:B,0))))</f>
        <v xml:space="preserve"> </v>
      </c>
      <c r="J320" t="str" cm="1">
        <f t="array" ref="J320">IF(F320=0," ",IF(ISBLANK(INDEX(Initial_Component_aggregator!H:H,MATCH(F320,Initial_Component_aggregator!B:B,0))),F320,INDEX(Initial_Component_aggregator!H:H,MATCH(F320,Initial_Component_aggregator!B:B,0))))</f>
        <v xml:space="preserve"> </v>
      </c>
      <c r="K320" t="str" cm="1">
        <f t="array" ref="K320">IF(F320=0," ",IF(ISBLANK(INDEX(Initial_Component_aggregator!H:H,MATCH(F320,Initial_Component_aggregator!B:B))),D320,INDEX(Initial_Component_aggregator!I:I,MATCH(J320,Initial_Component_aggregator!H:H))))</f>
        <v xml:space="preserve"> </v>
      </c>
      <c r="L320" t="str" cm="1">
        <f t="array" ref="L320">IF(F320=0," ",IF(ISBLANK(INDEX(Initial_Component_aggregator!H:H,MATCH(F320,Initial_Component_aggregator!B:B))),E320,INDEX(Initial_Component_aggregator!J:J,MATCH(J320,Initial_Component_aggregator!H:H))))</f>
        <v xml:space="preserve"> </v>
      </c>
      <c r="M320" t="str" cm="1">
        <f t="array" ref="M320">IF(F320=0," ",IF(ISBLANK(INDEX(Initial_Component_aggregator!H:H,MATCH(F320,Initial_Component_aggregator!B:B))),F320,INDEX(Initial_Component_aggregator!K:K,MATCH(J320,Initial_Component_aggregator!H:H))))</f>
        <v xml:space="preserve"> </v>
      </c>
    </row>
    <row r="321" spans="1:13" ht="36" customHeight="1">
      <c r="A321"/>
      <c r="B321"/>
      <c r="C321"/>
      <c r="D321"/>
      <c r="E321"/>
      <c r="F321"/>
      <c r="G321"/>
      <c r="H321" t="str">
        <f t="shared" si="4"/>
        <v xml:space="preserve"> </v>
      </c>
      <c r="I321" t="str" cm="1">
        <f t="array" ref="I321">IF(F321=0," ",IF(ISBLANK(INDEX(Initial_Component_aggregator!F:F,MATCH(F321,Initial_Component_aggregator!B:B,0))),"No change",INDEX(Initial_Component_aggregator!F:F,MATCH(F321,Initial_Component_aggregator!B:B,0))))</f>
        <v xml:space="preserve"> </v>
      </c>
      <c r="J321" t="str" cm="1">
        <f t="array" ref="J321">IF(F321=0," ",IF(ISBLANK(INDEX(Initial_Component_aggregator!H:H,MATCH(F321,Initial_Component_aggregator!B:B,0))),F321,INDEX(Initial_Component_aggregator!H:H,MATCH(F321,Initial_Component_aggregator!B:B,0))))</f>
        <v xml:space="preserve"> </v>
      </c>
      <c r="K321" t="str" cm="1">
        <f t="array" ref="K321">IF(F321=0," ",IF(ISBLANK(INDEX(Initial_Component_aggregator!H:H,MATCH(F321,Initial_Component_aggregator!B:B))),D321,INDEX(Initial_Component_aggregator!I:I,MATCH(J321,Initial_Component_aggregator!H:H))))</f>
        <v xml:space="preserve"> </v>
      </c>
      <c r="L321" t="str" cm="1">
        <f t="array" ref="L321">IF(F321=0," ",IF(ISBLANK(INDEX(Initial_Component_aggregator!H:H,MATCH(F321,Initial_Component_aggregator!B:B))),E321,INDEX(Initial_Component_aggregator!J:J,MATCH(J321,Initial_Component_aggregator!H:H))))</f>
        <v xml:space="preserve"> </v>
      </c>
      <c r="M321" t="str" cm="1">
        <f t="array" ref="M321">IF(F321=0," ",IF(ISBLANK(INDEX(Initial_Component_aggregator!H:H,MATCH(F321,Initial_Component_aggregator!B:B))),F321,INDEX(Initial_Component_aggregator!K:K,MATCH(J321,Initial_Component_aggregator!H:H))))</f>
        <v xml:space="preserve"> </v>
      </c>
    </row>
    <row r="322" spans="1:13" ht="36" customHeight="1">
      <c r="A322"/>
      <c r="B322"/>
      <c r="C322"/>
      <c r="D322"/>
      <c r="E322"/>
      <c r="F322"/>
      <c r="G322"/>
      <c r="H322" t="str">
        <f t="shared" si="4"/>
        <v xml:space="preserve"> </v>
      </c>
      <c r="I322" t="str" cm="1">
        <f t="array" ref="I322">IF(F322=0," ",IF(ISBLANK(INDEX(Initial_Component_aggregator!F:F,MATCH(F322,Initial_Component_aggregator!B:B,0))),"No change",INDEX(Initial_Component_aggregator!F:F,MATCH(F322,Initial_Component_aggregator!B:B,0))))</f>
        <v xml:space="preserve"> </v>
      </c>
      <c r="J322" t="str" cm="1">
        <f t="array" ref="J322">IF(F322=0," ",IF(ISBLANK(INDEX(Initial_Component_aggregator!H:H,MATCH(F322,Initial_Component_aggregator!B:B,0))),F322,INDEX(Initial_Component_aggregator!H:H,MATCH(F322,Initial_Component_aggregator!B:B,0))))</f>
        <v xml:space="preserve"> </v>
      </c>
      <c r="K322" t="str" cm="1">
        <f t="array" ref="K322">IF(F322=0," ",IF(ISBLANK(INDEX(Initial_Component_aggregator!H:H,MATCH(F322,Initial_Component_aggregator!B:B))),D322,INDEX(Initial_Component_aggregator!I:I,MATCH(J322,Initial_Component_aggregator!H:H))))</f>
        <v xml:space="preserve"> </v>
      </c>
      <c r="L322" t="str" cm="1">
        <f t="array" ref="L322">IF(F322=0," ",IF(ISBLANK(INDEX(Initial_Component_aggregator!H:H,MATCH(F322,Initial_Component_aggregator!B:B))),E322,INDEX(Initial_Component_aggregator!J:J,MATCH(J322,Initial_Component_aggregator!H:H))))</f>
        <v xml:space="preserve"> </v>
      </c>
      <c r="M322" t="str" cm="1">
        <f t="array" ref="M322">IF(F322=0," ",IF(ISBLANK(INDEX(Initial_Component_aggregator!H:H,MATCH(F322,Initial_Component_aggregator!B:B))),F322,INDEX(Initial_Component_aggregator!K:K,MATCH(J322,Initial_Component_aggregator!H:H))))</f>
        <v xml:space="preserve"> </v>
      </c>
    </row>
    <row r="323" spans="1:13" ht="36" customHeight="1">
      <c r="A323"/>
      <c r="B323"/>
      <c r="C323"/>
      <c r="D323"/>
      <c r="E323"/>
      <c r="F323"/>
      <c r="G323"/>
      <c r="H323" t="str">
        <f t="shared" ref="H323:H386" si="5">IF(F323=0," ",(AND(IF(J323=F323,0,1),F323&lt;&gt;0)))</f>
        <v xml:space="preserve"> </v>
      </c>
      <c r="I323" t="str" cm="1">
        <f t="array" ref="I323">IF(F323=0," ",IF(ISBLANK(INDEX(Initial_Component_aggregator!F:F,MATCH(F323,Initial_Component_aggregator!B:B,0))),"No change",INDEX(Initial_Component_aggregator!F:F,MATCH(F323,Initial_Component_aggregator!B:B,0))))</f>
        <v xml:space="preserve"> </v>
      </c>
      <c r="J323" t="str" cm="1">
        <f t="array" ref="J323">IF(F323=0," ",IF(ISBLANK(INDEX(Initial_Component_aggregator!H:H,MATCH(F323,Initial_Component_aggregator!B:B,0))),F323,INDEX(Initial_Component_aggregator!H:H,MATCH(F323,Initial_Component_aggregator!B:B,0))))</f>
        <v xml:space="preserve"> </v>
      </c>
      <c r="K323" t="str" cm="1">
        <f t="array" ref="K323">IF(F323=0," ",IF(ISBLANK(INDEX(Initial_Component_aggregator!H:H,MATCH(F323,Initial_Component_aggregator!B:B))),D323,INDEX(Initial_Component_aggregator!I:I,MATCH(J323,Initial_Component_aggregator!H:H))))</f>
        <v xml:space="preserve"> </v>
      </c>
      <c r="L323" t="str" cm="1">
        <f t="array" ref="L323">IF(F323=0," ",IF(ISBLANK(INDEX(Initial_Component_aggregator!H:H,MATCH(F323,Initial_Component_aggregator!B:B))),E323,INDEX(Initial_Component_aggregator!J:J,MATCH(J323,Initial_Component_aggregator!H:H))))</f>
        <v xml:space="preserve"> </v>
      </c>
      <c r="M323" t="str" cm="1">
        <f t="array" ref="M323">IF(F323=0," ",IF(ISBLANK(INDEX(Initial_Component_aggregator!H:H,MATCH(F323,Initial_Component_aggregator!B:B))),F323,INDEX(Initial_Component_aggregator!K:K,MATCH(J323,Initial_Component_aggregator!H:H))))</f>
        <v xml:space="preserve"> </v>
      </c>
    </row>
    <row r="324" spans="1:13" ht="36" customHeight="1">
      <c r="A324"/>
      <c r="B324"/>
      <c r="C324"/>
      <c r="D324"/>
      <c r="E324"/>
      <c r="F324"/>
      <c r="G324"/>
      <c r="H324" t="str">
        <f t="shared" si="5"/>
        <v xml:space="preserve"> </v>
      </c>
      <c r="I324" t="str" cm="1">
        <f t="array" ref="I324">IF(F324=0," ",IF(ISBLANK(INDEX(Initial_Component_aggregator!F:F,MATCH(F324,Initial_Component_aggregator!B:B,0))),"No change",INDEX(Initial_Component_aggregator!F:F,MATCH(F324,Initial_Component_aggregator!B:B,0))))</f>
        <v xml:space="preserve"> </v>
      </c>
      <c r="J324" t="str" cm="1">
        <f t="array" ref="J324">IF(F324=0," ",IF(ISBLANK(INDEX(Initial_Component_aggregator!H:H,MATCH(F324,Initial_Component_aggregator!B:B,0))),F324,INDEX(Initial_Component_aggregator!H:H,MATCH(F324,Initial_Component_aggregator!B:B,0))))</f>
        <v xml:space="preserve"> </v>
      </c>
      <c r="K324" t="str" cm="1">
        <f t="array" ref="K324">IF(F324=0," ",IF(ISBLANK(INDEX(Initial_Component_aggregator!H:H,MATCH(F324,Initial_Component_aggregator!B:B))),D324,INDEX(Initial_Component_aggregator!I:I,MATCH(J324,Initial_Component_aggregator!H:H))))</f>
        <v xml:space="preserve"> </v>
      </c>
      <c r="L324" t="str" cm="1">
        <f t="array" ref="L324">IF(F324=0," ",IF(ISBLANK(INDEX(Initial_Component_aggregator!H:H,MATCH(F324,Initial_Component_aggregator!B:B))),E324,INDEX(Initial_Component_aggregator!J:J,MATCH(J324,Initial_Component_aggregator!H:H))))</f>
        <v xml:space="preserve"> </v>
      </c>
      <c r="M324" t="str" cm="1">
        <f t="array" ref="M324">IF(F324=0," ",IF(ISBLANK(INDEX(Initial_Component_aggregator!H:H,MATCH(F324,Initial_Component_aggregator!B:B))),F324,INDEX(Initial_Component_aggregator!K:K,MATCH(J324,Initial_Component_aggregator!H:H))))</f>
        <v xml:space="preserve"> </v>
      </c>
    </row>
    <row r="325" spans="1:13" ht="36" customHeight="1">
      <c r="A325"/>
      <c r="B325"/>
      <c r="C325"/>
      <c r="D325"/>
      <c r="E325"/>
      <c r="F325"/>
      <c r="G325"/>
      <c r="H325" t="str">
        <f t="shared" si="5"/>
        <v xml:space="preserve"> </v>
      </c>
      <c r="I325" t="str" cm="1">
        <f t="array" ref="I325">IF(F325=0," ",IF(ISBLANK(INDEX(Initial_Component_aggregator!F:F,MATCH(F325,Initial_Component_aggregator!B:B,0))),"No change",INDEX(Initial_Component_aggregator!F:F,MATCH(F325,Initial_Component_aggregator!B:B,0))))</f>
        <v xml:space="preserve"> </v>
      </c>
      <c r="J325" t="str" cm="1">
        <f t="array" ref="J325">IF(F325=0," ",IF(ISBLANK(INDEX(Initial_Component_aggregator!H:H,MATCH(F325,Initial_Component_aggregator!B:B,0))),F325,INDEX(Initial_Component_aggregator!H:H,MATCH(F325,Initial_Component_aggregator!B:B,0))))</f>
        <v xml:space="preserve"> </v>
      </c>
      <c r="K325" t="str" cm="1">
        <f t="array" ref="K325">IF(F325=0," ",IF(ISBLANK(INDEX(Initial_Component_aggregator!H:H,MATCH(F325,Initial_Component_aggregator!B:B))),D325,INDEX(Initial_Component_aggregator!I:I,MATCH(J325,Initial_Component_aggregator!H:H))))</f>
        <v xml:space="preserve"> </v>
      </c>
      <c r="L325" t="str" cm="1">
        <f t="array" ref="L325">IF(F325=0," ",IF(ISBLANK(INDEX(Initial_Component_aggregator!H:H,MATCH(F325,Initial_Component_aggregator!B:B))),E325,INDEX(Initial_Component_aggregator!J:J,MATCH(J325,Initial_Component_aggregator!H:H))))</f>
        <v xml:space="preserve"> </v>
      </c>
      <c r="M325" t="str" cm="1">
        <f t="array" ref="M325">IF(F325=0," ",IF(ISBLANK(INDEX(Initial_Component_aggregator!H:H,MATCH(F325,Initial_Component_aggregator!B:B))),F325,INDEX(Initial_Component_aggregator!K:K,MATCH(J325,Initial_Component_aggregator!H:H))))</f>
        <v xml:space="preserve"> </v>
      </c>
    </row>
    <row r="326" spans="1:13" ht="36" customHeight="1">
      <c r="A326"/>
      <c r="B326"/>
      <c r="C326"/>
      <c r="D326"/>
      <c r="E326"/>
      <c r="F326"/>
      <c r="G326"/>
      <c r="H326" t="str">
        <f t="shared" si="5"/>
        <v xml:space="preserve"> </v>
      </c>
      <c r="I326" t="str" cm="1">
        <f t="array" ref="I326">IF(F326=0," ",IF(ISBLANK(INDEX(Initial_Component_aggregator!F:F,MATCH(F326,Initial_Component_aggregator!B:B,0))),"No change",INDEX(Initial_Component_aggregator!F:F,MATCH(F326,Initial_Component_aggregator!B:B,0))))</f>
        <v xml:space="preserve"> </v>
      </c>
      <c r="J326" t="str" cm="1">
        <f t="array" ref="J326">IF(F326=0," ",IF(ISBLANK(INDEX(Initial_Component_aggregator!H:H,MATCH(F326,Initial_Component_aggregator!B:B,0))),F326,INDEX(Initial_Component_aggregator!H:H,MATCH(F326,Initial_Component_aggregator!B:B,0))))</f>
        <v xml:space="preserve"> </v>
      </c>
      <c r="K326" t="str" cm="1">
        <f t="array" ref="K326">IF(F326=0," ",IF(ISBLANK(INDEX(Initial_Component_aggregator!H:H,MATCH(F326,Initial_Component_aggregator!B:B))),D326,INDEX(Initial_Component_aggregator!I:I,MATCH(J326,Initial_Component_aggregator!H:H))))</f>
        <v xml:space="preserve"> </v>
      </c>
      <c r="L326" t="str" cm="1">
        <f t="array" ref="L326">IF(F326=0," ",IF(ISBLANK(INDEX(Initial_Component_aggregator!H:H,MATCH(F326,Initial_Component_aggregator!B:B))),E326,INDEX(Initial_Component_aggregator!J:J,MATCH(J326,Initial_Component_aggregator!H:H))))</f>
        <v xml:space="preserve"> </v>
      </c>
      <c r="M326" t="str" cm="1">
        <f t="array" ref="M326">IF(F326=0," ",IF(ISBLANK(INDEX(Initial_Component_aggregator!H:H,MATCH(F326,Initial_Component_aggregator!B:B))),F326,INDEX(Initial_Component_aggregator!K:K,MATCH(J326,Initial_Component_aggregator!H:H))))</f>
        <v xml:space="preserve"> </v>
      </c>
    </row>
    <row r="327" spans="1:13" ht="36" customHeight="1">
      <c r="A327"/>
      <c r="B327"/>
      <c r="C327"/>
      <c r="D327"/>
      <c r="E327"/>
      <c r="F327"/>
      <c r="G327"/>
      <c r="H327" t="str">
        <f t="shared" si="5"/>
        <v xml:space="preserve"> </v>
      </c>
      <c r="I327" t="str" cm="1">
        <f t="array" ref="I327">IF(F327=0," ",IF(ISBLANK(INDEX(Initial_Component_aggregator!F:F,MATCH(F327,Initial_Component_aggregator!B:B,0))),"No change",INDEX(Initial_Component_aggregator!F:F,MATCH(F327,Initial_Component_aggregator!B:B,0))))</f>
        <v xml:space="preserve"> </v>
      </c>
      <c r="J327" t="str" cm="1">
        <f t="array" ref="J327">IF(F327=0," ",IF(ISBLANK(INDEX(Initial_Component_aggregator!H:H,MATCH(F327,Initial_Component_aggregator!B:B,0))),F327,INDEX(Initial_Component_aggregator!H:H,MATCH(F327,Initial_Component_aggregator!B:B,0))))</f>
        <v xml:space="preserve"> </v>
      </c>
      <c r="K327" t="str" cm="1">
        <f t="array" ref="K327">IF(F327=0," ",IF(ISBLANK(INDEX(Initial_Component_aggregator!H:H,MATCH(F327,Initial_Component_aggregator!B:B))),D327,INDEX(Initial_Component_aggregator!I:I,MATCH(J327,Initial_Component_aggregator!H:H))))</f>
        <v xml:space="preserve"> </v>
      </c>
      <c r="L327" t="str" cm="1">
        <f t="array" ref="L327">IF(F327=0," ",IF(ISBLANK(INDEX(Initial_Component_aggregator!H:H,MATCH(F327,Initial_Component_aggregator!B:B))),E327,INDEX(Initial_Component_aggregator!J:J,MATCH(J327,Initial_Component_aggregator!H:H))))</f>
        <v xml:space="preserve"> </v>
      </c>
      <c r="M327" t="str" cm="1">
        <f t="array" ref="M327">IF(F327=0," ",IF(ISBLANK(INDEX(Initial_Component_aggregator!H:H,MATCH(F327,Initial_Component_aggregator!B:B))),F327,INDEX(Initial_Component_aggregator!K:K,MATCH(J327,Initial_Component_aggregator!H:H))))</f>
        <v xml:space="preserve"> </v>
      </c>
    </row>
    <row r="328" spans="1:13" ht="36" customHeight="1">
      <c r="A328"/>
      <c r="B328"/>
      <c r="C328"/>
      <c r="D328"/>
      <c r="E328"/>
      <c r="F328"/>
      <c r="G328"/>
      <c r="H328" t="str">
        <f t="shared" si="5"/>
        <v xml:space="preserve"> </v>
      </c>
      <c r="I328" t="str" cm="1">
        <f t="array" ref="I328">IF(F328=0," ",IF(ISBLANK(INDEX(Initial_Component_aggregator!F:F,MATCH(F328,Initial_Component_aggregator!B:B,0))),"No change",INDEX(Initial_Component_aggregator!F:F,MATCH(F328,Initial_Component_aggregator!B:B,0))))</f>
        <v xml:space="preserve"> </v>
      </c>
      <c r="J328" t="str" cm="1">
        <f t="array" ref="J328">IF(F328=0," ",IF(ISBLANK(INDEX(Initial_Component_aggregator!H:H,MATCH(F328,Initial_Component_aggregator!B:B,0))),F328,INDEX(Initial_Component_aggregator!H:H,MATCH(F328,Initial_Component_aggregator!B:B,0))))</f>
        <v xml:space="preserve"> </v>
      </c>
      <c r="K328" t="str" cm="1">
        <f t="array" ref="K328">IF(F328=0," ",IF(ISBLANK(INDEX(Initial_Component_aggregator!H:H,MATCH(F328,Initial_Component_aggregator!B:B))),D328,INDEX(Initial_Component_aggregator!I:I,MATCH(J328,Initial_Component_aggregator!H:H))))</f>
        <v xml:space="preserve"> </v>
      </c>
      <c r="L328" t="str" cm="1">
        <f t="array" ref="L328">IF(F328=0," ",IF(ISBLANK(INDEX(Initial_Component_aggregator!H:H,MATCH(F328,Initial_Component_aggregator!B:B))),E328,INDEX(Initial_Component_aggregator!J:J,MATCH(J328,Initial_Component_aggregator!H:H))))</f>
        <v xml:space="preserve"> </v>
      </c>
      <c r="M328" t="str" cm="1">
        <f t="array" ref="M328">IF(F328=0," ",IF(ISBLANK(INDEX(Initial_Component_aggregator!H:H,MATCH(F328,Initial_Component_aggregator!B:B))),F328,INDEX(Initial_Component_aggregator!K:K,MATCH(J328,Initial_Component_aggregator!H:H))))</f>
        <v xml:space="preserve"> </v>
      </c>
    </row>
    <row r="329" spans="1:13" ht="36" customHeight="1">
      <c r="A329"/>
      <c r="B329"/>
      <c r="C329"/>
      <c r="D329"/>
      <c r="E329"/>
      <c r="F329"/>
      <c r="G329"/>
      <c r="H329" t="str">
        <f t="shared" si="5"/>
        <v xml:space="preserve"> </v>
      </c>
      <c r="I329" t="str" cm="1">
        <f t="array" ref="I329">IF(F329=0," ",IF(ISBLANK(INDEX(Initial_Component_aggregator!F:F,MATCH(F329,Initial_Component_aggregator!B:B,0))),"No change",INDEX(Initial_Component_aggregator!F:F,MATCH(F329,Initial_Component_aggregator!B:B,0))))</f>
        <v xml:space="preserve"> </v>
      </c>
      <c r="J329" t="str" cm="1">
        <f t="array" ref="J329">IF(F329=0," ",IF(ISBLANK(INDEX(Initial_Component_aggregator!H:H,MATCH(F329,Initial_Component_aggregator!B:B,0))),F329,INDEX(Initial_Component_aggregator!H:H,MATCH(F329,Initial_Component_aggregator!B:B,0))))</f>
        <v xml:space="preserve"> </v>
      </c>
      <c r="K329" t="str" cm="1">
        <f t="array" ref="K329">IF(F329=0," ",IF(ISBLANK(INDEX(Initial_Component_aggregator!H:H,MATCH(F329,Initial_Component_aggregator!B:B))),D329,INDEX(Initial_Component_aggregator!I:I,MATCH(J329,Initial_Component_aggregator!H:H))))</f>
        <v xml:space="preserve"> </v>
      </c>
      <c r="L329" t="str" cm="1">
        <f t="array" ref="L329">IF(F329=0," ",IF(ISBLANK(INDEX(Initial_Component_aggregator!H:H,MATCH(F329,Initial_Component_aggregator!B:B))),E329,INDEX(Initial_Component_aggregator!J:J,MATCH(J329,Initial_Component_aggregator!H:H))))</f>
        <v xml:space="preserve"> </v>
      </c>
      <c r="M329" t="str" cm="1">
        <f t="array" ref="M329">IF(F329=0," ",IF(ISBLANK(INDEX(Initial_Component_aggregator!H:H,MATCH(F329,Initial_Component_aggregator!B:B))),F329,INDEX(Initial_Component_aggregator!K:K,MATCH(J329,Initial_Component_aggregator!H:H))))</f>
        <v xml:space="preserve"> </v>
      </c>
    </row>
    <row r="330" spans="1:13" ht="36" customHeight="1">
      <c r="A330"/>
      <c r="B330"/>
      <c r="C330"/>
      <c r="D330"/>
      <c r="E330"/>
      <c r="F330"/>
      <c r="G330"/>
      <c r="H330" t="str">
        <f t="shared" si="5"/>
        <v xml:space="preserve"> </v>
      </c>
      <c r="I330" t="str" cm="1">
        <f t="array" ref="I330">IF(F330=0," ",IF(ISBLANK(INDEX(Initial_Component_aggregator!F:F,MATCH(F330,Initial_Component_aggregator!B:B,0))),"No change",INDEX(Initial_Component_aggregator!F:F,MATCH(F330,Initial_Component_aggregator!B:B,0))))</f>
        <v xml:space="preserve"> </v>
      </c>
      <c r="J330" t="str" cm="1">
        <f t="array" ref="J330">IF(F330=0," ",IF(ISBLANK(INDEX(Initial_Component_aggregator!H:H,MATCH(F330,Initial_Component_aggregator!B:B,0))),F330,INDEX(Initial_Component_aggregator!H:H,MATCH(F330,Initial_Component_aggregator!B:B,0))))</f>
        <v xml:space="preserve"> </v>
      </c>
      <c r="K330" t="str" cm="1">
        <f t="array" ref="K330">IF(F330=0," ",IF(ISBLANK(INDEX(Initial_Component_aggregator!H:H,MATCH(F330,Initial_Component_aggregator!B:B))),D330,INDEX(Initial_Component_aggregator!I:I,MATCH(J330,Initial_Component_aggregator!H:H))))</f>
        <v xml:space="preserve"> </v>
      </c>
      <c r="L330" t="str" cm="1">
        <f t="array" ref="L330">IF(F330=0," ",IF(ISBLANK(INDEX(Initial_Component_aggregator!H:H,MATCH(F330,Initial_Component_aggregator!B:B))),E330,INDEX(Initial_Component_aggregator!J:J,MATCH(J330,Initial_Component_aggregator!H:H))))</f>
        <v xml:space="preserve"> </v>
      </c>
      <c r="M330" t="str" cm="1">
        <f t="array" ref="M330">IF(F330=0," ",IF(ISBLANK(INDEX(Initial_Component_aggregator!H:H,MATCH(F330,Initial_Component_aggregator!B:B))),F330,INDEX(Initial_Component_aggregator!K:K,MATCH(J330,Initial_Component_aggregator!H:H))))</f>
        <v xml:space="preserve"> </v>
      </c>
    </row>
    <row r="331" spans="1:13" ht="36" customHeight="1">
      <c r="A331"/>
      <c r="B331"/>
      <c r="C331"/>
      <c r="D331"/>
      <c r="E331"/>
      <c r="F331"/>
      <c r="G331"/>
      <c r="H331" t="str">
        <f t="shared" si="5"/>
        <v xml:space="preserve"> </v>
      </c>
      <c r="I331" t="str" cm="1">
        <f t="array" ref="I331">IF(F331=0," ",IF(ISBLANK(INDEX(Initial_Component_aggregator!F:F,MATCH(F331,Initial_Component_aggregator!B:B,0))),"No change",INDEX(Initial_Component_aggregator!F:F,MATCH(F331,Initial_Component_aggregator!B:B,0))))</f>
        <v xml:space="preserve"> </v>
      </c>
      <c r="J331" t="str" cm="1">
        <f t="array" ref="J331">IF(F331=0," ",IF(ISBLANK(INDEX(Initial_Component_aggregator!H:H,MATCH(F331,Initial_Component_aggregator!B:B,0))),F331,INDEX(Initial_Component_aggregator!H:H,MATCH(F331,Initial_Component_aggregator!B:B,0))))</f>
        <v xml:space="preserve"> </v>
      </c>
      <c r="K331" t="str" cm="1">
        <f t="array" ref="K331">IF(F331=0," ",IF(ISBLANK(INDEX(Initial_Component_aggregator!H:H,MATCH(F331,Initial_Component_aggregator!B:B))),D331,INDEX(Initial_Component_aggregator!I:I,MATCH(J331,Initial_Component_aggregator!H:H))))</f>
        <v xml:space="preserve"> </v>
      </c>
      <c r="L331" t="str" cm="1">
        <f t="array" ref="L331">IF(F331=0," ",IF(ISBLANK(INDEX(Initial_Component_aggregator!H:H,MATCH(F331,Initial_Component_aggregator!B:B))),E331,INDEX(Initial_Component_aggregator!J:J,MATCH(J331,Initial_Component_aggregator!H:H))))</f>
        <v xml:space="preserve"> </v>
      </c>
      <c r="M331" t="str" cm="1">
        <f t="array" ref="M331">IF(F331=0," ",IF(ISBLANK(INDEX(Initial_Component_aggregator!H:H,MATCH(F331,Initial_Component_aggregator!B:B))),F331,INDEX(Initial_Component_aggregator!K:K,MATCH(J331,Initial_Component_aggregator!H:H))))</f>
        <v xml:space="preserve"> </v>
      </c>
    </row>
    <row r="332" spans="1:13" ht="36" customHeight="1">
      <c r="A332"/>
      <c r="B332"/>
      <c r="C332"/>
      <c r="D332"/>
      <c r="E332"/>
      <c r="F332"/>
      <c r="G332"/>
      <c r="H332" t="str">
        <f t="shared" si="5"/>
        <v xml:space="preserve"> </v>
      </c>
      <c r="I332" t="str" cm="1">
        <f t="array" ref="I332">IF(F332=0," ",IF(ISBLANK(INDEX(Initial_Component_aggregator!F:F,MATCH(F332,Initial_Component_aggregator!B:B,0))),"No change",INDEX(Initial_Component_aggregator!F:F,MATCH(F332,Initial_Component_aggregator!B:B,0))))</f>
        <v xml:space="preserve"> </v>
      </c>
      <c r="J332" t="str" cm="1">
        <f t="array" ref="J332">IF(F332=0," ",IF(ISBLANK(INDEX(Initial_Component_aggregator!H:H,MATCH(F332,Initial_Component_aggregator!B:B,0))),F332,INDEX(Initial_Component_aggregator!H:H,MATCH(F332,Initial_Component_aggregator!B:B,0))))</f>
        <v xml:space="preserve"> </v>
      </c>
      <c r="K332" t="str" cm="1">
        <f t="array" ref="K332">IF(F332=0," ",IF(ISBLANK(INDEX(Initial_Component_aggregator!H:H,MATCH(F332,Initial_Component_aggregator!B:B))),D332,INDEX(Initial_Component_aggregator!I:I,MATCH(J332,Initial_Component_aggregator!H:H))))</f>
        <v xml:space="preserve"> </v>
      </c>
      <c r="L332" t="str" cm="1">
        <f t="array" ref="L332">IF(F332=0," ",IF(ISBLANK(INDEX(Initial_Component_aggregator!H:H,MATCH(F332,Initial_Component_aggregator!B:B))),E332,INDEX(Initial_Component_aggregator!J:J,MATCH(J332,Initial_Component_aggregator!H:H))))</f>
        <v xml:space="preserve"> </v>
      </c>
      <c r="M332" t="str" cm="1">
        <f t="array" ref="M332">IF(F332=0," ",IF(ISBLANK(INDEX(Initial_Component_aggregator!H:H,MATCH(F332,Initial_Component_aggregator!B:B))),F332,INDEX(Initial_Component_aggregator!K:K,MATCH(J332,Initial_Component_aggregator!H:H))))</f>
        <v xml:space="preserve"> </v>
      </c>
    </row>
    <row r="333" spans="1:13" ht="36" customHeight="1">
      <c r="A333"/>
      <c r="B333"/>
      <c r="C333"/>
      <c r="D333"/>
      <c r="E333"/>
      <c r="F333"/>
      <c r="G333"/>
      <c r="H333" t="str">
        <f t="shared" si="5"/>
        <v xml:space="preserve"> </v>
      </c>
      <c r="I333" t="str" cm="1">
        <f t="array" ref="I333">IF(F333=0," ",IF(ISBLANK(INDEX(Initial_Component_aggregator!F:F,MATCH(F333,Initial_Component_aggregator!B:B,0))),"No change",INDEX(Initial_Component_aggregator!F:F,MATCH(F333,Initial_Component_aggregator!B:B,0))))</f>
        <v xml:space="preserve"> </v>
      </c>
      <c r="J333" t="str" cm="1">
        <f t="array" ref="J333">IF(F333=0," ",IF(ISBLANK(INDEX(Initial_Component_aggregator!H:H,MATCH(F333,Initial_Component_aggregator!B:B,0))),F333,INDEX(Initial_Component_aggregator!H:H,MATCH(F333,Initial_Component_aggregator!B:B,0))))</f>
        <v xml:space="preserve"> </v>
      </c>
      <c r="K333" t="str" cm="1">
        <f t="array" ref="K333">IF(F333=0," ",IF(ISBLANK(INDEX(Initial_Component_aggregator!H:H,MATCH(F333,Initial_Component_aggregator!B:B))),D333,INDEX(Initial_Component_aggregator!I:I,MATCH(J333,Initial_Component_aggregator!H:H))))</f>
        <v xml:space="preserve"> </v>
      </c>
      <c r="L333" t="str" cm="1">
        <f t="array" ref="L333">IF(F333=0," ",IF(ISBLANK(INDEX(Initial_Component_aggregator!H:H,MATCH(F333,Initial_Component_aggregator!B:B))),E333,INDEX(Initial_Component_aggregator!J:J,MATCH(J333,Initial_Component_aggregator!H:H))))</f>
        <v xml:space="preserve"> </v>
      </c>
      <c r="M333" t="str" cm="1">
        <f t="array" ref="M333">IF(F333=0," ",IF(ISBLANK(INDEX(Initial_Component_aggregator!H:H,MATCH(F333,Initial_Component_aggregator!B:B))),F333,INDEX(Initial_Component_aggregator!K:K,MATCH(J333,Initial_Component_aggregator!H:H))))</f>
        <v xml:space="preserve"> </v>
      </c>
    </row>
    <row r="334" spans="1:13" ht="36" customHeight="1">
      <c r="A334"/>
      <c r="B334"/>
      <c r="C334"/>
      <c r="D334"/>
      <c r="E334"/>
      <c r="F334"/>
      <c r="G334"/>
      <c r="H334" t="str">
        <f t="shared" si="5"/>
        <v xml:space="preserve"> </v>
      </c>
      <c r="I334" t="str" cm="1">
        <f t="array" ref="I334">IF(F334=0," ",IF(ISBLANK(INDEX(Initial_Component_aggregator!F:F,MATCH(F334,Initial_Component_aggregator!B:B,0))),"No change",INDEX(Initial_Component_aggregator!F:F,MATCH(F334,Initial_Component_aggregator!B:B,0))))</f>
        <v xml:space="preserve"> </v>
      </c>
      <c r="J334" t="str" cm="1">
        <f t="array" ref="J334">IF(F334=0," ",IF(ISBLANK(INDEX(Initial_Component_aggregator!H:H,MATCH(F334,Initial_Component_aggregator!B:B,0))),F334,INDEX(Initial_Component_aggregator!H:H,MATCH(F334,Initial_Component_aggregator!B:B,0))))</f>
        <v xml:space="preserve"> </v>
      </c>
      <c r="K334" t="str" cm="1">
        <f t="array" ref="K334">IF(F334=0," ",IF(ISBLANK(INDEX(Initial_Component_aggregator!H:H,MATCH(F334,Initial_Component_aggregator!B:B))),D334,INDEX(Initial_Component_aggregator!I:I,MATCH(J334,Initial_Component_aggregator!H:H))))</f>
        <v xml:space="preserve"> </v>
      </c>
      <c r="L334" t="str" cm="1">
        <f t="array" ref="L334">IF(F334=0," ",IF(ISBLANK(INDEX(Initial_Component_aggregator!H:H,MATCH(F334,Initial_Component_aggregator!B:B))),E334,INDEX(Initial_Component_aggregator!J:J,MATCH(J334,Initial_Component_aggregator!H:H))))</f>
        <v xml:space="preserve"> </v>
      </c>
      <c r="M334" t="str" cm="1">
        <f t="array" ref="M334">IF(F334=0," ",IF(ISBLANK(INDEX(Initial_Component_aggregator!H:H,MATCH(F334,Initial_Component_aggregator!B:B))),F334,INDEX(Initial_Component_aggregator!K:K,MATCH(J334,Initial_Component_aggregator!H:H))))</f>
        <v xml:space="preserve"> </v>
      </c>
    </row>
    <row r="335" spans="1:13" ht="36" customHeight="1">
      <c r="A335"/>
      <c r="B335"/>
      <c r="C335"/>
      <c r="D335"/>
      <c r="E335"/>
      <c r="F335"/>
      <c r="G335"/>
      <c r="H335" t="str">
        <f t="shared" si="5"/>
        <v xml:space="preserve"> </v>
      </c>
      <c r="I335" t="str" cm="1">
        <f t="array" ref="I335">IF(F335=0," ",IF(ISBLANK(INDEX(Initial_Component_aggregator!F:F,MATCH(F335,Initial_Component_aggregator!B:B,0))),"No change",INDEX(Initial_Component_aggregator!F:F,MATCH(F335,Initial_Component_aggregator!B:B,0))))</f>
        <v xml:space="preserve"> </v>
      </c>
      <c r="J335" t="str" cm="1">
        <f t="array" ref="J335">IF(F335=0," ",IF(ISBLANK(INDEX(Initial_Component_aggregator!H:H,MATCH(F335,Initial_Component_aggregator!B:B,0))),F335,INDEX(Initial_Component_aggregator!H:H,MATCH(F335,Initial_Component_aggregator!B:B,0))))</f>
        <v xml:space="preserve"> </v>
      </c>
      <c r="K335" t="str" cm="1">
        <f t="array" ref="K335">IF(F335=0," ",IF(ISBLANK(INDEX(Initial_Component_aggregator!H:H,MATCH(F335,Initial_Component_aggregator!B:B))),D335,INDEX(Initial_Component_aggregator!I:I,MATCH(J335,Initial_Component_aggregator!H:H))))</f>
        <v xml:space="preserve"> </v>
      </c>
      <c r="L335" t="str" cm="1">
        <f t="array" ref="L335">IF(F335=0," ",IF(ISBLANK(INDEX(Initial_Component_aggregator!H:H,MATCH(F335,Initial_Component_aggregator!B:B))),E335,INDEX(Initial_Component_aggregator!J:J,MATCH(J335,Initial_Component_aggregator!H:H))))</f>
        <v xml:space="preserve"> </v>
      </c>
      <c r="M335" t="str" cm="1">
        <f t="array" ref="M335">IF(F335=0," ",IF(ISBLANK(INDEX(Initial_Component_aggregator!H:H,MATCH(F335,Initial_Component_aggregator!B:B))),F335,INDEX(Initial_Component_aggregator!K:K,MATCH(J335,Initial_Component_aggregator!H:H))))</f>
        <v xml:space="preserve"> </v>
      </c>
    </row>
    <row r="336" spans="1:13" ht="36" customHeight="1">
      <c r="A336"/>
      <c r="B336"/>
      <c r="C336"/>
      <c r="D336"/>
      <c r="E336"/>
      <c r="F336"/>
      <c r="G336"/>
      <c r="H336" t="str">
        <f t="shared" si="5"/>
        <v xml:space="preserve"> </v>
      </c>
      <c r="I336" t="str" cm="1">
        <f t="array" ref="I336">IF(F336=0," ",IF(ISBLANK(INDEX(Initial_Component_aggregator!F:F,MATCH(F336,Initial_Component_aggregator!B:B,0))),"No change",INDEX(Initial_Component_aggregator!F:F,MATCH(F336,Initial_Component_aggregator!B:B,0))))</f>
        <v xml:space="preserve"> </v>
      </c>
      <c r="J336" t="str" cm="1">
        <f t="array" ref="J336">IF(F336=0," ",IF(ISBLANK(INDEX(Initial_Component_aggregator!H:H,MATCH(F336,Initial_Component_aggregator!B:B,0))),F336,INDEX(Initial_Component_aggregator!H:H,MATCH(F336,Initial_Component_aggregator!B:B,0))))</f>
        <v xml:space="preserve"> </v>
      </c>
      <c r="K336" t="str" cm="1">
        <f t="array" ref="K336">IF(F336=0," ",IF(ISBLANK(INDEX(Initial_Component_aggregator!H:H,MATCH(F336,Initial_Component_aggregator!B:B))),D336,INDEX(Initial_Component_aggregator!I:I,MATCH(J336,Initial_Component_aggregator!H:H))))</f>
        <v xml:space="preserve"> </v>
      </c>
      <c r="L336" t="str" cm="1">
        <f t="array" ref="L336">IF(F336=0," ",IF(ISBLANK(INDEX(Initial_Component_aggregator!H:H,MATCH(F336,Initial_Component_aggregator!B:B))),E336,INDEX(Initial_Component_aggregator!J:J,MATCH(J336,Initial_Component_aggregator!H:H))))</f>
        <v xml:space="preserve"> </v>
      </c>
      <c r="M336" t="str" cm="1">
        <f t="array" ref="M336">IF(F336=0," ",IF(ISBLANK(INDEX(Initial_Component_aggregator!H:H,MATCH(F336,Initial_Component_aggregator!B:B))),F336,INDEX(Initial_Component_aggregator!K:K,MATCH(J336,Initial_Component_aggregator!H:H))))</f>
        <v xml:space="preserve"> </v>
      </c>
    </row>
    <row r="337" spans="1:13" ht="36" customHeight="1">
      <c r="A337"/>
      <c r="B337"/>
      <c r="C337"/>
      <c r="D337"/>
      <c r="E337"/>
      <c r="F337"/>
      <c r="G337"/>
      <c r="H337" t="str">
        <f t="shared" si="5"/>
        <v xml:space="preserve"> </v>
      </c>
      <c r="I337" t="str" cm="1">
        <f t="array" ref="I337">IF(F337=0," ",IF(ISBLANK(INDEX(Initial_Component_aggregator!F:F,MATCH(F337,Initial_Component_aggregator!B:B,0))),"No change",INDEX(Initial_Component_aggregator!F:F,MATCH(F337,Initial_Component_aggregator!B:B,0))))</f>
        <v xml:space="preserve"> </v>
      </c>
      <c r="J337" t="str" cm="1">
        <f t="array" ref="J337">IF(F337=0," ",IF(ISBLANK(INDEX(Initial_Component_aggregator!H:H,MATCH(F337,Initial_Component_aggregator!B:B,0))),F337,INDEX(Initial_Component_aggregator!H:H,MATCH(F337,Initial_Component_aggregator!B:B,0))))</f>
        <v xml:space="preserve"> </v>
      </c>
      <c r="K337" t="str" cm="1">
        <f t="array" ref="K337">IF(F337=0," ",IF(ISBLANK(INDEX(Initial_Component_aggregator!H:H,MATCH(F337,Initial_Component_aggregator!B:B))),D337,INDEX(Initial_Component_aggregator!I:I,MATCH(J337,Initial_Component_aggregator!H:H))))</f>
        <v xml:space="preserve"> </v>
      </c>
      <c r="L337" t="str" cm="1">
        <f t="array" ref="L337">IF(F337=0," ",IF(ISBLANK(INDEX(Initial_Component_aggregator!H:H,MATCH(F337,Initial_Component_aggregator!B:B))),E337,INDEX(Initial_Component_aggregator!J:J,MATCH(J337,Initial_Component_aggregator!H:H))))</f>
        <v xml:space="preserve"> </v>
      </c>
      <c r="M337" t="str" cm="1">
        <f t="array" ref="M337">IF(F337=0," ",IF(ISBLANK(INDEX(Initial_Component_aggregator!H:H,MATCH(F337,Initial_Component_aggregator!B:B))),F337,INDEX(Initial_Component_aggregator!K:K,MATCH(J337,Initial_Component_aggregator!H:H))))</f>
        <v xml:space="preserve"> </v>
      </c>
    </row>
    <row r="338" spans="1:13" ht="36" customHeight="1">
      <c r="A338"/>
      <c r="B338"/>
      <c r="C338"/>
      <c r="D338"/>
      <c r="E338"/>
      <c r="F338"/>
      <c r="G338"/>
      <c r="H338" t="str">
        <f t="shared" si="5"/>
        <v xml:space="preserve"> </v>
      </c>
      <c r="I338" t="str" cm="1">
        <f t="array" ref="I338">IF(F338=0," ",IF(ISBLANK(INDEX(Initial_Component_aggregator!F:F,MATCH(F338,Initial_Component_aggregator!B:B,0))),"No change",INDEX(Initial_Component_aggregator!F:F,MATCH(F338,Initial_Component_aggregator!B:B,0))))</f>
        <v xml:space="preserve"> </v>
      </c>
      <c r="J338" t="str" cm="1">
        <f t="array" ref="J338">IF(F338=0," ",IF(ISBLANK(INDEX(Initial_Component_aggregator!H:H,MATCH(F338,Initial_Component_aggregator!B:B,0))),F338,INDEX(Initial_Component_aggregator!H:H,MATCH(F338,Initial_Component_aggregator!B:B,0))))</f>
        <v xml:space="preserve"> </v>
      </c>
      <c r="K338" t="str" cm="1">
        <f t="array" ref="K338">IF(F338=0," ",IF(ISBLANK(INDEX(Initial_Component_aggregator!H:H,MATCH(F338,Initial_Component_aggregator!B:B))),D338,INDEX(Initial_Component_aggregator!I:I,MATCH(J338,Initial_Component_aggregator!H:H))))</f>
        <v xml:space="preserve"> </v>
      </c>
      <c r="L338" t="str" cm="1">
        <f t="array" ref="L338">IF(F338=0," ",IF(ISBLANK(INDEX(Initial_Component_aggregator!H:H,MATCH(F338,Initial_Component_aggregator!B:B))),E338,INDEX(Initial_Component_aggregator!J:J,MATCH(J338,Initial_Component_aggregator!H:H))))</f>
        <v xml:space="preserve"> </v>
      </c>
      <c r="M338" t="str" cm="1">
        <f t="array" ref="M338">IF(F338=0," ",IF(ISBLANK(INDEX(Initial_Component_aggregator!H:H,MATCH(F338,Initial_Component_aggregator!B:B))),F338,INDEX(Initial_Component_aggregator!K:K,MATCH(J338,Initial_Component_aggregator!H:H))))</f>
        <v xml:space="preserve"> </v>
      </c>
    </row>
    <row r="339" spans="1:13" ht="36" customHeight="1">
      <c r="A339"/>
      <c r="B339"/>
      <c r="C339"/>
      <c r="D339"/>
      <c r="E339"/>
      <c r="F339"/>
      <c r="G339"/>
      <c r="H339" t="str">
        <f t="shared" si="5"/>
        <v xml:space="preserve"> </v>
      </c>
      <c r="I339" t="str" cm="1">
        <f t="array" ref="I339">IF(F339=0," ",IF(ISBLANK(INDEX(Initial_Component_aggregator!F:F,MATCH(F339,Initial_Component_aggregator!B:B,0))),"No change",INDEX(Initial_Component_aggregator!F:F,MATCH(F339,Initial_Component_aggregator!B:B,0))))</f>
        <v xml:space="preserve"> </v>
      </c>
      <c r="J339" t="str" cm="1">
        <f t="array" ref="J339">IF(F339=0," ",IF(ISBLANK(INDEX(Initial_Component_aggregator!H:H,MATCH(F339,Initial_Component_aggregator!B:B,0))),F339,INDEX(Initial_Component_aggregator!H:H,MATCH(F339,Initial_Component_aggregator!B:B,0))))</f>
        <v xml:space="preserve"> </v>
      </c>
      <c r="K339" t="str" cm="1">
        <f t="array" ref="K339">IF(F339=0," ",IF(ISBLANK(INDEX(Initial_Component_aggregator!H:H,MATCH(F339,Initial_Component_aggregator!B:B))),D339,INDEX(Initial_Component_aggregator!I:I,MATCH(J339,Initial_Component_aggregator!H:H))))</f>
        <v xml:space="preserve"> </v>
      </c>
      <c r="L339" t="str" cm="1">
        <f t="array" ref="L339">IF(F339=0," ",IF(ISBLANK(INDEX(Initial_Component_aggregator!H:H,MATCH(F339,Initial_Component_aggregator!B:B))),E339,INDEX(Initial_Component_aggregator!J:J,MATCH(J339,Initial_Component_aggregator!H:H))))</f>
        <v xml:space="preserve"> </v>
      </c>
      <c r="M339" t="str" cm="1">
        <f t="array" ref="M339">IF(F339=0," ",IF(ISBLANK(INDEX(Initial_Component_aggregator!H:H,MATCH(F339,Initial_Component_aggregator!B:B))),F339,INDEX(Initial_Component_aggregator!K:K,MATCH(J339,Initial_Component_aggregator!H:H))))</f>
        <v xml:space="preserve"> </v>
      </c>
    </row>
    <row r="340" spans="1:13" ht="36" customHeight="1">
      <c r="A340"/>
      <c r="B340"/>
      <c r="C340"/>
      <c r="D340"/>
      <c r="E340"/>
      <c r="F340"/>
      <c r="G340"/>
      <c r="H340" t="str">
        <f t="shared" si="5"/>
        <v xml:space="preserve"> </v>
      </c>
      <c r="I340" t="str" cm="1">
        <f t="array" ref="I340">IF(F340=0," ",IF(ISBLANK(INDEX(Initial_Component_aggregator!F:F,MATCH(F340,Initial_Component_aggregator!B:B,0))),"No change",INDEX(Initial_Component_aggregator!F:F,MATCH(F340,Initial_Component_aggregator!B:B,0))))</f>
        <v xml:space="preserve"> </v>
      </c>
      <c r="J340" t="str" cm="1">
        <f t="array" ref="J340">IF(F340=0," ",IF(ISBLANK(INDEX(Initial_Component_aggregator!H:H,MATCH(F340,Initial_Component_aggregator!B:B,0))),F340,INDEX(Initial_Component_aggregator!H:H,MATCH(F340,Initial_Component_aggregator!B:B,0))))</f>
        <v xml:space="preserve"> </v>
      </c>
      <c r="K340" t="str" cm="1">
        <f t="array" ref="K340">IF(F340=0," ",IF(ISBLANK(INDEX(Initial_Component_aggregator!H:H,MATCH(F340,Initial_Component_aggregator!B:B))),D340,INDEX(Initial_Component_aggregator!I:I,MATCH(J340,Initial_Component_aggregator!H:H))))</f>
        <v xml:space="preserve"> </v>
      </c>
      <c r="L340" t="str" cm="1">
        <f t="array" ref="L340">IF(F340=0," ",IF(ISBLANK(INDEX(Initial_Component_aggregator!H:H,MATCH(F340,Initial_Component_aggregator!B:B))),E340,INDEX(Initial_Component_aggregator!J:J,MATCH(J340,Initial_Component_aggregator!H:H))))</f>
        <v xml:space="preserve"> </v>
      </c>
      <c r="M340" t="str" cm="1">
        <f t="array" ref="M340">IF(F340=0," ",IF(ISBLANK(INDEX(Initial_Component_aggregator!H:H,MATCH(F340,Initial_Component_aggregator!B:B))),F340,INDEX(Initial_Component_aggregator!K:K,MATCH(J340,Initial_Component_aggregator!H:H))))</f>
        <v xml:space="preserve"> </v>
      </c>
    </row>
    <row r="341" spans="1:13" ht="36" customHeight="1">
      <c r="A341"/>
      <c r="B341"/>
      <c r="C341"/>
      <c r="D341"/>
      <c r="E341"/>
      <c r="F341"/>
      <c r="G341"/>
      <c r="H341" t="str">
        <f t="shared" si="5"/>
        <v xml:space="preserve"> </v>
      </c>
      <c r="I341" t="str" cm="1">
        <f t="array" ref="I341">IF(F341=0," ",IF(ISBLANK(INDEX(Initial_Component_aggregator!F:F,MATCH(F341,Initial_Component_aggregator!B:B,0))),"No change",INDEX(Initial_Component_aggregator!F:F,MATCH(F341,Initial_Component_aggregator!B:B,0))))</f>
        <v xml:space="preserve"> </v>
      </c>
      <c r="J341" t="str" cm="1">
        <f t="array" ref="J341">IF(F341=0," ",IF(ISBLANK(INDEX(Initial_Component_aggregator!H:H,MATCH(F341,Initial_Component_aggregator!B:B,0))),F341,INDEX(Initial_Component_aggregator!H:H,MATCH(F341,Initial_Component_aggregator!B:B,0))))</f>
        <v xml:space="preserve"> </v>
      </c>
      <c r="K341" t="str" cm="1">
        <f t="array" ref="K341">IF(F341=0," ",IF(ISBLANK(INDEX(Initial_Component_aggregator!H:H,MATCH(F341,Initial_Component_aggregator!B:B))),D341,INDEX(Initial_Component_aggregator!I:I,MATCH(J341,Initial_Component_aggregator!H:H))))</f>
        <v xml:space="preserve"> </v>
      </c>
      <c r="L341" t="str" cm="1">
        <f t="array" ref="L341">IF(F341=0," ",IF(ISBLANK(INDEX(Initial_Component_aggregator!H:H,MATCH(F341,Initial_Component_aggregator!B:B))),E341,INDEX(Initial_Component_aggregator!J:J,MATCH(J341,Initial_Component_aggregator!H:H))))</f>
        <v xml:space="preserve"> </v>
      </c>
      <c r="M341" t="str" cm="1">
        <f t="array" ref="M341">IF(F341=0," ",IF(ISBLANK(INDEX(Initial_Component_aggregator!H:H,MATCH(F341,Initial_Component_aggregator!B:B))),F341,INDEX(Initial_Component_aggregator!K:K,MATCH(J341,Initial_Component_aggregator!H:H))))</f>
        <v xml:space="preserve"> </v>
      </c>
    </row>
    <row r="342" spans="1:13" ht="36" customHeight="1">
      <c r="A342"/>
      <c r="B342"/>
      <c r="C342"/>
      <c r="D342"/>
      <c r="E342"/>
      <c r="F342"/>
      <c r="G342"/>
      <c r="H342" t="str">
        <f t="shared" si="5"/>
        <v xml:space="preserve"> </v>
      </c>
      <c r="I342" t="str" cm="1">
        <f t="array" ref="I342">IF(F342=0," ",IF(ISBLANK(INDEX(Initial_Component_aggregator!F:F,MATCH(F342,Initial_Component_aggregator!B:B,0))),"No change",INDEX(Initial_Component_aggregator!F:F,MATCH(F342,Initial_Component_aggregator!B:B,0))))</f>
        <v xml:space="preserve"> </v>
      </c>
      <c r="J342" t="str" cm="1">
        <f t="array" ref="J342">IF(F342=0," ",IF(ISBLANK(INDEX(Initial_Component_aggregator!H:H,MATCH(F342,Initial_Component_aggregator!B:B,0))),F342,INDEX(Initial_Component_aggregator!H:H,MATCH(F342,Initial_Component_aggregator!B:B,0))))</f>
        <v xml:space="preserve"> </v>
      </c>
      <c r="K342" t="str" cm="1">
        <f t="array" ref="K342">IF(F342=0," ",IF(ISBLANK(INDEX(Initial_Component_aggregator!H:H,MATCH(F342,Initial_Component_aggregator!B:B))),D342,INDEX(Initial_Component_aggregator!I:I,MATCH(J342,Initial_Component_aggregator!H:H))))</f>
        <v xml:space="preserve"> </v>
      </c>
      <c r="L342" t="str" cm="1">
        <f t="array" ref="L342">IF(F342=0," ",IF(ISBLANK(INDEX(Initial_Component_aggregator!H:H,MATCH(F342,Initial_Component_aggregator!B:B))),E342,INDEX(Initial_Component_aggregator!J:J,MATCH(J342,Initial_Component_aggregator!H:H))))</f>
        <v xml:space="preserve"> </v>
      </c>
      <c r="M342" t="str" cm="1">
        <f t="array" ref="M342">IF(F342=0," ",IF(ISBLANK(INDEX(Initial_Component_aggregator!H:H,MATCH(F342,Initial_Component_aggregator!B:B))),F342,INDEX(Initial_Component_aggregator!K:K,MATCH(J342,Initial_Component_aggregator!H:H))))</f>
        <v xml:space="preserve"> </v>
      </c>
    </row>
    <row r="343" spans="1:13" ht="36" customHeight="1">
      <c r="A343"/>
      <c r="B343"/>
      <c r="C343"/>
      <c r="D343"/>
      <c r="E343"/>
      <c r="F343"/>
      <c r="G343"/>
      <c r="H343" t="str">
        <f t="shared" si="5"/>
        <v xml:space="preserve"> </v>
      </c>
      <c r="I343" t="str" cm="1">
        <f t="array" ref="I343">IF(F343=0," ",IF(ISBLANK(INDEX(Initial_Component_aggregator!F:F,MATCH(F343,Initial_Component_aggregator!B:B,0))),"No change",INDEX(Initial_Component_aggregator!F:F,MATCH(F343,Initial_Component_aggregator!B:B,0))))</f>
        <v xml:space="preserve"> </v>
      </c>
      <c r="J343" t="str" cm="1">
        <f t="array" ref="J343">IF(F343=0," ",IF(ISBLANK(INDEX(Initial_Component_aggregator!H:H,MATCH(F343,Initial_Component_aggregator!B:B,0))),F343,INDEX(Initial_Component_aggregator!H:H,MATCH(F343,Initial_Component_aggregator!B:B,0))))</f>
        <v xml:space="preserve"> </v>
      </c>
      <c r="K343" t="str" cm="1">
        <f t="array" ref="K343">IF(F343=0," ",IF(ISBLANK(INDEX(Initial_Component_aggregator!H:H,MATCH(F343,Initial_Component_aggregator!B:B))),D343,INDEX(Initial_Component_aggregator!I:I,MATCH(J343,Initial_Component_aggregator!H:H))))</f>
        <v xml:space="preserve"> </v>
      </c>
      <c r="L343" t="str" cm="1">
        <f t="array" ref="L343">IF(F343=0," ",IF(ISBLANK(INDEX(Initial_Component_aggregator!H:H,MATCH(F343,Initial_Component_aggregator!B:B))),E343,INDEX(Initial_Component_aggregator!J:J,MATCH(J343,Initial_Component_aggregator!H:H))))</f>
        <v xml:space="preserve"> </v>
      </c>
      <c r="M343" t="str" cm="1">
        <f t="array" ref="M343">IF(F343=0," ",IF(ISBLANK(INDEX(Initial_Component_aggregator!H:H,MATCH(F343,Initial_Component_aggregator!B:B))),F343,INDEX(Initial_Component_aggregator!K:K,MATCH(J343,Initial_Component_aggregator!H:H))))</f>
        <v xml:space="preserve"> </v>
      </c>
    </row>
    <row r="344" spans="1:13" ht="36" customHeight="1">
      <c r="A344"/>
      <c r="B344"/>
      <c r="C344"/>
      <c r="D344"/>
      <c r="E344"/>
      <c r="F344"/>
      <c r="G344"/>
      <c r="H344" t="str">
        <f t="shared" si="5"/>
        <v xml:space="preserve"> </v>
      </c>
      <c r="I344" t="str" cm="1">
        <f t="array" ref="I344">IF(F344=0," ",IF(ISBLANK(INDEX(Initial_Component_aggregator!F:F,MATCH(F344,Initial_Component_aggregator!B:B,0))),"No change",INDEX(Initial_Component_aggregator!F:F,MATCH(F344,Initial_Component_aggregator!B:B,0))))</f>
        <v xml:space="preserve"> </v>
      </c>
      <c r="J344" t="str" cm="1">
        <f t="array" ref="J344">IF(F344=0," ",IF(ISBLANK(INDEX(Initial_Component_aggregator!H:H,MATCH(F344,Initial_Component_aggregator!B:B,0))),F344,INDEX(Initial_Component_aggregator!H:H,MATCH(F344,Initial_Component_aggregator!B:B,0))))</f>
        <v xml:space="preserve"> </v>
      </c>
      <c r="K344" t="str" cm="1">
        <f t="array" ref="K344">IF(F344=0," ",IF(ISBLANK(INDEX(Initial_Component_aggregator!H:H,MATCH(F344,Initial_Component_aggregator!B:B))),D344,INDEX(Initial_Component_aggregator!I:I,MATCH(J344,Initial_Component_aggregator!H:H))))</f>
        <v xml:space="preserve"> </v>
      </c>
      <c r="L344" t="str" cm="1">
        <f t="array" ref="L344">IF(F344=0," ",IF(ISBLANK(INDEX(Initial_Component_aggregator!H:H,MATCH(F344,Initial_Component_aggregator!B:B))),E344,INDEX(Initial_Component_aggregator!J:J,MATCH(J344,Initial_Component_aggregator!H:H))))</f>
        <v xml:space="preserve"> </v>
      </c>
      <c r="M344" t="str" cm="1">
        <f t="array" ref="M344">IF(F344=0," ",IF(ISBLANK(INDEX(Initial_Component_aggregator!H:H,MATCH(F344,Initial_Component_aggregator!B:B))),F344,INDEX(Initial_Component_aggregator!K:K,MATCH(J344,Initial_Component_aggregator!H:H))))</f>
        <v xml:space="preserve"> </v>
      </c>
    </row>
    <row r="345" spans="1:13" ht="36" customHeight="1">
      <c r="A345"/>
      <c r="B345"/>
      <c r="C345"/>
      <c r="D345"/>
      <c r="E345"/>
      <c r="F345"/>
      <c r="G345"/>
      <c r="H345" t="str">
        <f t="shared" si="5"/>
        <v xml:space="preserve"> </v>
      </c>
      <c r="I345" t="str" cm="1">
        <f t="array" ref="I345">IF(F345=0," ",IF(ISBLANK(INDEX(Initial_Component_aggregator!F:F,MATCH(F345,Initial_Component_aggregator!B:B,0))),"No change",INDEX(Initial_Component_aggregator!F:F,MATCH(F345,Initial_Component_aggregator!B:B,0))))</f>
        <v xml:space="preserve"> </v>
      </c>
      <c r="J345" t="str" cm="1">
        <f t="array" ref="J345">IF(F345=0," ",IF(ISBLANK(INDEX(Initial_Component_aggregator!H:H,MATCH(F345,Initial_Component_aggregator!B:B,0))),F345,INDEX(Initial_Component_aggregator!H:H,MATCH(F345,Initial_Component_aggregator!B:B,0))))</f>
        <v xml:space="preserve"> </v>
      </c>
      <c r="K345" t="str" cm="1">
        <f t="array" ref="K345">IF(F345=0," ",IF(ISBLANK(INDEX(Initial_Component_aggregator!H:H,MATCH(F345,Initial_Component_aggregator!B:B))),D345,INDEX(Initial_Component_aggregator!I:I,MATCH(J345,Initial_Component_aggregator!H:H))))</f>
        <v xml:space="preserve"> </v>
      </c>
      <c r="L345" t="str" cm="1">
        <f t="array" ref="L345">IF(F345=0," ",IF(ISBLANK(INDEX(Initial_Component_aggregator!H:H,MATCH(F345,Initial_Component_aggregator!B:B))),E345,INDEX(Initial_Component_aggregator!J:J,MATCH(J345,Initial_Component_aggregator!H:H))))</f>
        <v xml:space="preserve"> </v>
      </c>
      <c r="M345" t="str" cm="1">
        <f t="array" ref="M345">IF(F345=0," ",IF(ISBLANK(INDEX(Initial_Component_aggregator!H:H,MATCH(F345,Initial_Component_aggregator!B:B))),F345,INDEX(Initial_Component_aggregator!K:K,MATCH(J345,Initial_Component_aggregator!H:H))))</f>
        <v xml:space="preserve"> </v>
      </c>
    </row>
    <row r="346" spans="1:13" ht="36" customHeight="1">
      <c r="A346"/>
      <c r="B346"/>
      <c r="C346"/>
      <c r="D346"/>
      <c r="E346"/>
      <c r="F346"/>
      <c r="G346"/>
      <c r="H346" t="str">
        <f t="shared" si="5"/>
        <v xml:space="preserve"> </v>
      </c>
      <c r="I346" t="str" cm="1">
        <f t="array" ref="I346">IF(F346=0," ",IF(ISBLANK(INDEX(Initial_Component_aggregator!F:F,MATCH(F346,Initial_Component_aggregator!B:B,0))),"No change",INDEX(Initial_Component_aggregator!F:F,MATCH(F346,Initial_Component_aggregator!B:B,0))))</f>
        <v xml:space="preserve"> </v>
      </c>
      <c r="J346" t="str" cm="1">
        <f t="array" ref="J346">IF(F346=0," ",IF(ISBLANK(INDEX(Initial_Component_aggregator!H:H,MATCH(F346,Initial_Component_aggregator!B:B,0))),F346,INDEX(Initial_Component_aggregator!H:H,MATCH(F346,Initial_Component_aggregator!B:B,0))))</f>
        <v xml:space="preserve"> </v>
      </c>
      <c r="K346" t="str" cm="1">
        <f t="array" ref="K346">IF(F346=0," ",IF(ISBLANK(INDEX(Initial_Component_aggregator!H:H,MATCH(F346,Initial_Component_aggregator!B:B))),D346,INDEX(Initial_Component_aggregator!I:I,MATCH(J346,Initial_Component_aggregator!H:H))))</f>
        <v xml:space="preserve"> </v>
      </c>
      <c r="L346" t="str" cm="1">
        <f t="array" ref="L346">IF(F346=0," ",IF(ISBLANK(INDEX(Initial_Component_aggregator!H:H,MATCH(F346,Initial_Component_aggregator!B:B))),E346,INDEX(Initial_Component_aggregator!J:J,MATCH(J346,Initial_Component_aggregator!H:H))))</f>
        <v xml:space="preserve"> </v>
      </c>
      <c r="M346" t="str" cm="1">
        <f t="array" ref="M346">IF(F346=0," ",IF(ISBLANK(INDEX(Initial_Component_aggregator!H:H,MATCH(F346,Initial_Component_aggregator!B:B))),F346,INDEX(Initial_Component_aggregator!K:K,MATCH(J346,Initial_Component_aggregator!H:H))))</f>
        <v xml:space="preserve"> </v>
      </c>
    </row>
    <row r="347" spans="1:13" ht="36" customHeight="1">
      <c r="A347"/>
      <c r="B347"/>
      <c r="C347"/>
      <c r="D347"/>
      <c r="E347"/>
      <c r="F347"/>
      <c r="G347"/>
      <c r="H347" t="str">
        <f t="shared" si="5"/>
        <v xml:space="preserve"> </v>
      </c>
      <c r="I347" t="str" cm="1">
        <f t="array" ref="I347">IF(F347=0," ",IF(ISBLANK(INDEX(Initial_Component_aggregator!F:F,MATCH(F347,Initial_Component_aggregator!B:B,0))),"No change",INDEX(Initial_Component_aggregator!F:F,MATCH(F347,Initial_Component_aggregator!B:B,0))))</f>
        <v xml:space="preserve"> </v>
      </c>
      <c r="J347" t="str" cm="1">
        <f t="array" ref="J347">IF(F347=0," ",IF(ISBLANK(INDEX(Initial_Component_aggregator!H:H,MATCH(F347,Initial_Component_aggregator!B:B,0))),F347,INDEX(Initial_Component_aggregator!H:H,MATCH(F347,Initial_Component_aggregator!B:B,0))))</f>
        <v xml:space="preserve"> </v>
      </c>
      <c r="K347" t="str" cm="1">
        <f t="array" ref="K347">IF(F347=0," ",IF(ISBLANK(INDEX(Initial_Component_aggregator!H:H,MATCH(F347,Initial_Component_aggregator!B:B))),D347,INDEX(Initial_Component_aggregator!I:I,MATCH(J347,Initial_Component_aggregator!H:H))))</f>
        <v xml:space="preserve"> </v>
      </c>
      <c r="L347" t="str" cm="1">
        <f t="array" ref="L347">IF(F347=0," ",IF(ISBLANK(INDEX(Initial_Component_aggregator!H:H,MATCH(F347,Initial_Component_aggregator!B:B))),E347,INDEX(Initial_Component_aggregator!J:J,MATCH(J347,Initial_Component_aggregator!H:H))))</f>
        <v xml:space="preserve"> </v>
      </c>
      <c r="M347" t="str" cm="1">
        <f t="array" ref="M347">IF(F347=0," ",IF(ISBLANK(INDEX(Initial_Component_aggregator!H:H,MATCH(F347,Initial_Component_aggregator!B:B))),F347,INDEX(Initial_Component_aggregator!K:K,MATCH(J347,Initial_Component_aggregator!H:H))))</f>
        <v xml:space="preserve"> </v>
      </c>
    </row>
    <row r="348" spans="1:13" ht="36" customHeight="1">
      <c r="A348"/>
      <c r="B348"/>
      <c r="C348"/>
      <c r="D348"/>
      <c r="E348"/>
      <c r="F348"/>
      <c r="G348"/>
      <c r="H348" t="str">
        <f t="shared" si="5"/>
        <v xml:space="preserve"> </v>
      </c>
      <c r="I348" t="str" cm="1">
        <f t="array" ref="I348">IF(F348=0," ",IF(ISBLANK(INDEX(Initial_Component_aggregator!F:F,MATCH(F348,Initial_Component_aggregator!B:B,0))),"No change",INDEX(Initial_Component_aggregator!F:F,MATCH(F348,Initial_Component_aggregator!B:B,0))))</f>
        <v xml:space="preserve"> </v>
      </c>
      <c r="J348" t="str" cm="1">
        <f t="array" ref="J348">IF(F348=0," ",IF(ISBLANK(INDEX(Initial_Component_aggregator!H:H,MATCH(F348,Initial_Component_aggregator!B:B,0))),F348,INDEX(Initial_Component_aggregator!H:H,MATCH(F348,Initial_Component_aggregator!B:B,0))))</f>
        <v xml:space="preserve"> </v>
      </c>
      <c r="K348" t="str" cm="1">
        <f t="array" ref="K348">IF(F348=0," ",IF(ISBLANK(INDEX(Initial_Component_aggregator!H:H,MATCH(F348,Initial_Component_aggregator!B:B))),D348,INDEX(Initial_Component_aggregator!I:I,MATCH(J348,Initial_Component_aggregator!H:H))))</f>
        <v xml:space="preserve"> </v>
      </c>
      <c r="L348" t="str" cm="1">
        <f t="array" ref="L348">IF(F348=0," ",IF(ISBLANK(INDEX(Initial_Component_aggregator!H:H,MATCH(F348,Initial_Component_aggregator!B:B))),E348,INDEX(Initial_Component_aggregator!J:J,MATCH(J348,Initial_Component_aggregator!H:H))))</f>
        <v xml:space="preserve"> </v>
      </c>
      <c r="M348" t="str" cm="1">
        <f t="array" ref="M348">IF(F348=0," ",IF(ISBLANK(INDEX(Initial_Component_aggregator!H:H,MATCH(F348,Initial_Component_aggregator!B:B))),F348,INDEX(Initial_Component_aggregator!K:K,MATCH(J348,Initial_Component_aggregator!H:H))))</f>
        <v xml:space="preserve"> </v>
      </c>
    </row>
    <row r="349" spans="1:13" ht="36" customHeight="1">
      <c r="A349"/>
      <c r="B349"/>
      <c r="C349"/>
      <c r="D349"/>
      <c r="E349"/>
      <c r="F349"/>
      <c r="G349"/>
      <c r="H349" t="str">
        <f t="shared" si="5"/>
        <v xml:space="preserve"> </v>
      </c>
      <c r="I349" t="str" cm="1">
        <f t="array" ref="I349">IF(F349=0," ",IF(ISBLANK(INDEX(Initial_Component_aggregator!F:F,MATCH(F349,Initial_Component_aggregator!B:B,0))),"No change",INDEX(Initial_Component_aggregator!F:F,MATCH(F349,Initial_Component_aggregator!B:B,0))))</f>
        <v xml:space="preserve"> </v>
      </c>
      <c r="J349" t="str" cm="1">
        <f t="array" ref="J349">IF(F349=0," ",IF(ISBLANK(INDEX(Initial_Component_aggregator!H:H,MATCH(F349,Initial_Component_aggregator!B:B,0))),F349,INDEX(Initial_Component_aggregator!H:H,MATCH(F349,Initial_Component_aggregator!B:B,0))))</f>
        <v xml:space="preserve"> </v>
      </c>
      <c r="K349" t="str" cm="1">
        <f t="array" ref="K349">IF(F349=0," ",IF(ISBLANK(INDEX(Initial_Component_aggregator!H:H,MATCH(F349,Initial_Component_aggregator!B:B))),D349,INDEX(Initial_Component_aggregator!I:I,MATCH(J349,Initial_Component_aggregator!H:H))))</f>
        <v xml:space="preserve"> </v>
      </c>
      <c r="L349" t="str" cm="1">
        <f t="array" ref="L349">IF(F349=0," ",IF(ISBLANK(INDEX(Initial_Component_aggregator!H:H,MATCH(F349,Initial_Component_aggregator!B:B))),E349,INDEX(Initial_Component_aggregator!J:J,MATCH(J349,Initial_Component_aggregator!H:H))))</f>
        <v xml:space="preserve"> </v>
      </c>
      <c r="M349" t="str" cm="1">
        <f t="array" ref="M349">IF(F349=0," ",IF(ISBLANK(INDEX(Initial_Component_aggregator!H:H,MATCH(F349,Initial_Component_aggregator!B:B))),F349,INDEX(Initial_Component_aggregator!K:K,MATCH(J349,Initial_Component_aggregator!H:H))))</f>
        <v xml:space="preserve"> </v>
      </c>
    </row>
    <row r="350" spans="1:13" ht="36" customHeight="1">
      <c r="A350"/>
      <c r="B350"/>
      <c r="C350"/>
      <c r="D350"/>
      <c r="E350"/>
      <c r="F350"/>
      <c r="G350"/>
      <c r="H350" t="str">
        <f t="shared" si="5"/>
        <v xml:space="preserve"> </v>
      </c>
      <c r="I350" t="str" cm="1">
        <f t="array" ref="I350">IF(F350=0," ",IF(ISBLANK(INDEX(Initial_Component_aggregator!F:F,MATCH(F350,Initial_Component_aggregator!B:B,0))),"No change",INDEX(Initial_Component_aggregator!F:F,MATCH(F350,Initial_Component_aggregator!B:B,0))))</f>
        <v xml:space="preserve"> </v>
      </c>
      <c r="J350" t="str" cm="1">
        <f t="array" ref="J350">IF(F350=0," ",IF(ISBLANK(INDEX(Initial_Component_aggregator!H:H,MATCH(F350,Initial_Component_aggregator!B:B,0))),F350,INDEX(Initial_Component_aggregator!H:H,MATCH(F350,Initial_Component_aggregator!B:B,0))))</f>
        <v xml:space="preserve"> </v>
      </c>
      <c r="K350" t="str" cm="1">
        <f t="array" ref="K350">IF(F350=0," ",IF(ISBLANK(INDEX(Initial_Component_aggregator!H:H,MATCH(F350,Initial_Component_aggregator!B:B))),D350,INDEX(Initial_Component_aggregator!I:I,MATCH(J350,Initial_Component_aggregator!H:H))))</f>
        <v xml:space="preserve"> </v>
      </c>
      <c r="L350" t="str" cm="1">
        <f t="array" ref="L350">IF(F350=0," ",IF(ISBLANK(INDEX(Initial_Component_aggregator!H:H,MATCH(F350,Initial_Component_aggregator!B:B))),E350,INDEX(Initial_Component_aggregator!J:J,MATCH(J350,Initial_Component_aggregator!H:H))))</f>
        <v xml:space="preserve"> </v>
      </c>
      <c r="M350" t="str" cm="1">
        <f t="array" ref="M350">IF(F350=0," ",IF(ISBLANK(INDEX(Initial_Component_aggregator!H:H,MATCH(F350,Initial_Component_aggregator!B:B))),F350,INDEX(Initial_Component_aggregator!K:K,MATCH(J350,Initial_Component_aggregator!H:H))))</f>
        <v xml:space="preserve"> </v>
      </c>
    </row>
    <row r="351" spans="1:13" ht="36" customHeight="1">
      <c r="A351"/>
      <c r="B351"/>
      <c r="C351"/>
      <c r="D351"/>
      <c r="E351"/>
      <c r="F351"/>
      <c r="G351"/>
      <c r="H351" t="str">
        <f t="shared" si="5"/>
        <v xml:space="preserve"> </v>
      </c>
      <c r="I351" t="str" cm="1">
        <f t="array" ref="I351">IF(F351=0," ",IF(ISBLANK(INDEX(Initial_Component_aggregator!F:F,MATCH(F351,Initial_Component_aggregator!B:B,0))),"No change",INDEX(Initial_Component_aggregator!F:F,MATCH(F351,Initial_Component_aggregator!B:B,0))))</f>
        <v xml:space="preserve"> </v>
      </c>
      <c r="J351" t="str" cm="1">
        <f t="array" ref="J351">IF(F351=0," ",IF(ISBLANK(INDEX(Initial_Component_aggregator!H:H,MATCH(F351,Initial_Component_aggregator!B:B,0))),F351,INDEX(Initial_Component_aggregator!H:H,MATCH(F351,Initial_Component_aggregator!B:B,0))))</f>
        <v xml:space="preserve"> </v>
      </c>
      <c r="K351" t="str" cm="1">
        <f t="array" ref="K351">IF(F351=0," ",IF(ISBLANK(INDEX(Initial_Component_aggregator!H:H,MATCH(F351,Initial_Component_aggregator!B:B))),D351,INDEX(Initial_Component_aggregator!I:I,MATCH(J351,Initial_Component_aggregator!H:H))))</f>
        <v xml:space="preserve"> </v>
      </c>
      <c r="L351" t="str" cm="1">
        <f t="array" ref="L351">IF(F351=0," ",IF(ISBLANK(INDEX(Initial_Component_aggregator!H:H,MATCH(F351,Initial_Component_aggregator!B:B))),E351,INDEX(Initial_Component_aggregator!J:J,MATCH(J351,Initial_Component_aggregator!H:H))))</f>
        <v xml:space="preserve"> </v>
      </c>
      <c r="M351" t="str" cm="1">
        <f t="array" ref="M351">IF(F351=0," ",IF(ISBLANK(INDEX(Initial_Component_aggregator!H:H,MATCH(F351,Initial_Component_aggregator!B:B))),F351,INDEX(Initial_Component_aggregator!K:K,MATCH(J351,Initial_Component_aggregator!H:H))))</f>
        <v xml:space="preserve"> </v>
      </c>
    </row>
    <row r="352" spans="1:13" ht="36" customHeight="1">
      <c r="A352"/>
      <c r="B352"/>
      <c r="C352"/>
      <c r="D352"/>
      <c r="E352"/>
      <c r="F352"/>
      <c r="G352"/>
      <c r="H352" t="str">
        <f t="shared" si="5"/>
        <v xml:space="preserve"> </v>
      </c>
      <c r="I352" t="str" cm="1">
        <f t="array" ref="I352">IF(F352=0," ",IF(ISBLANK(INDEX(Initial_Component_aggregator!F:F,MATCH(F352,Initial_Component_aggregator!B:B,0))),"No change",INDEX(Initial_Component_aggregator!F:F,MATCH(F352,Initial_Component_aggregator!B:B,0))))</f>
        <v xml:space="preserve"> </v>
      </c>
      <c r="J352" t="str" cm="1">
        <f t="array" ref="J352">IF(F352=0," ",IF(ISBLANK(INDEX(Initial_Component_aggregator!H:H,MATCH(F352,Initial_Component_aggregator!B:B,0))),F352,INDEX(Initial_Component_aggregator!H:H,MATCH(F352,Initial_Component_aggregator!B:B,0))))</f>
        <v xml:space="preserve"> </v>
      </c>
      <c r="K352" t="str" cm="1">
        <f t="array" ref="K352">IF(F352=0," ",IF(ISBLANK(INDEX(Initial_Component_aggregator!H:H,MATCH(F352,Initial_Component_aggregator!B:B))),D352,INDEX(Initial_Component_aggregator!I:I,MATCH(J352,Initial_Component_aggregator!H:H))))</f>
        <v xml:space="preserve"> </v>
      </c>
      <c r="L352" t="str" cm="1">
        <f t="array" ref="L352">IF(F352=0," ",IF(ISBLANK(INDEX(Initial_Component_aggregator!H:H,MATCH(F352,Initial_Component_aggregator!B:B))),E352,INDEX(Initial_Component_aggregator!J:J,MATCH(J352,Initial_Component_aggregator!H:H))))</f>
        <v xml:space="preserve"> </v>
      </c>
      <c r="M352" t="str" cm="1">
        <f t="array" ref="M352">IF(F352=0," ",IF(ISBLANK(INDEX(Initial_Component_aggregator!H:H,MATCH(F352,Initial_Component_aggregator!B:B))),F352,INDEX(Initial_Component_aggregator!K:K,MATCH(J352,Initial_Component_aggregator!H:H))))</f>
        <v xml:space="preserve"> </v>
      </c>
    </row>
    <row r="353" spans="1:13" ht="36" customHeight="1">
      <c r="A353"/>
      <c r="B353"/>
      <c r="C353"/>
      <c r="D353"/>
      <c r="E353"/>
      <c r="F353"/>
      <c r="G353"/>
      <c r="H353" t="str">
        <f t="shared" si="5"/>
        <v xml:space="preserve"> </v>
      </c>
      <c r="I353" t="str" cm="1">
        <f t="array" ref="I353">IF(F353=0," ",IF(ISBLANK(INDEX(Initial_Component_aggregator!F:F,MATCH(F353,Initial_Component_aggregator!B:B,0))),"No change",INDEX(Initial_Component_aggregator!F:F,MATCH(F353,Initial_Component_aggregator!B:B,0))))</f>
        <v xml:space="preserve"> </v>
      </c>
      <c r="J353" t="str" cm="1">
        <f t="array" ref="J353">IF(F353=0," ",IF(ISBLANK(INDEX(Initial_Component_aggregator!H:H,MATCH(F353,Initial_Component_aggregator!B:B,0))),F353,INDEX(Initial_Component_aggregator!H:H,MATCH(F353,Initial_Component_aggregator!B:B,0))))</f>
        <v xml:space="preserve"> </v>
      </c>
      <c r="K353" t="str" cm="1">
        <f t="array" ref="K353">IF(F353=0," ",IF(ISBLANK(INDEX(Initial_Component_aggregator!H:H,MATCH(F353,Initial_Component_aggregator!B:B))),D353,INDEX(Initial_Component_aggregator!I:I,MATCH(J353,Initial_Component_aggregator!H:H))))</f>
        <v xml:space="preserve"> </v>
      </c>
      <c r="L353" t="str" cm="1">
        <f t="array" ref="L353">IF(F353=0," ",IF(ISBLANK(INDEX(Initial_Component_aggregator!H:H,MATCH(F353,Initial_Component_aggregator!B:B))),E353,INDEX(Initial_Component_aggregator!J:J,MATCH(J353,Initial_Component_aggregator!H:H))))</f>
        <v xml:space="preserve"> </v>
      </c>
      <c r="M353" t="str" cm="1">
        <f t="array" ref="M353">IF(F353=0," ",IF(ISBLANK(INDEX(Initial_Component_aggregator!H:H,MATCH(F353,Initial_Component_aggregator!B:B))),F353,INDEX(Initial_Component_aggregator!K:K,MATCH(J353,Initial_Component_aggregator!H:H))))</f>
        <v xml:space="preserve"> </v>
      </c>
    </row>
    <row r="354" spans="1:13" ht="36" customHeight="1">
      <c r="A354"/>
      <c r="B354"/>
      <c r="C354"/>
      <c r="D354"/>
      <c r="E354"/>
      <c r="F354"/>
      <c r="G354"/>
      <c r="H354" t="str">
        <f t="shared" si="5"/>
        <v xml:space="preserve"> </v>
      </c>
      <c r="I354" t="str" cm="1">
        <f t="array" ref="I354">IF(F354=0," ",IF(ISBLANK(INDEX(Initial_Component_aggregator!F:F,MATCH(F354,Initial_Component_aggregator!B:B,0))),"No change",INDEX(Initial_Component_aggregator!F:F,MATCH(F354,Initial_Component_aggregator!B:B,0))))</f>
        <v xml:space="preserve"> </v>
      </c>
      <c r="J354" t="str" cm="1">
        <f t="array" ref="J354">IF(F354=0," ",IF(ISBLANK(INDEX(Initial_Component_aggregator!H:H,MATCH(F354,Initial_Component_aggregator!B:B,0))),F354,INDEX(Initial_Component_aggregator!H:H,MATCH(F354,Initial_Component_aggregator!B:B,0))))</f>
        <v xml:space="preserve"> </v>
      </c>
      <c r="K354" t="str" cm="1">
        <f t="array" ref="K354">IF(F354=0," ",IF(ISBLANK(INDEX(Initial_Component_aggregator!H:H,MATCH(F354,Initial_Component_aggregator!B:B))),D354,INDEX(Initial_Component_aggregator!I:I,MATCH(J354,Initial_Component_aggregator!H:H))))</f>
        <v xml:space="preserve"> </v>
      </c>
      <c r="L354" t="str" cm="1">
        <f t="array" ref="L354">IF(F354=0," ",IF(ISBLANK(INDEX(Initial_Component_aggregator!H:H,MATCH(F354,Initial_Component_aggregator!B:B))),E354,INDEX(Initial_Component_aggregator!J:J,MATCH(J354,Initial_Component_aggregator!H:H))))</f>
        <v xml:space="preserve"> </v>
      </c>
      <c r="M354" t="str" cm="1">
        <f t="array" ref="M354">IF(F354=0," ",IF(ISBLANK(INDEX(Initial_Component_aggregator!H:H,MATCH(F354,Initial_Component_aggregator!B:B))),F354,INDEX(Initial_Component_aggregator!K:K,MATCH(J354,Initial_Component_aggregator!H:H))))</f>
        <v xml:space="preserve"> </v>
      </c>
    </row>
    <row r="355" spans="1:13" ht="36" customHeight="1">
      <c r="A355"/>
      <c r="B355"/>
      <c r="C355"/>
      <c r="D355"/>
      <c r="E355"/>
      <c r="F355"/>
      <c r="G355"/>
      <c r="H355" t="str">
        <f t="shared" si="5"/>
        <v xml:space="preserve"> </v>
      </c>
      <c r="I355" t="str" cm="1">
        <f t="array" ref="I355">IF(F355=0," ",IF(ISBLANK(INDEX(Initial_Component_aggregator!F:F,MATCH(F355,Initial_Component_aggregator!B:B,0))),"No change",INDEX(Initial_Component_aggregator!F:F,MATCH(F355,Initial_Component_aggregator!B:B,0))))</f>
        <v xml:space="preserve"> </v>
      </c>
      <c r="J355" t="str" cm="1">
        <f t="array" ref="J355">IF(F355=0," ",IF(ISBLANK(INDEX(Initial_Component_aggregator!H:H,MATCH(F355,Initial_Component_aggregator!B:B,0))),F355,INDEX(Initial_Component_aggregator!H:H,MATCH(F355,Initial_Component_aggregator!B:B,0))))</f>
        <v xml:space="preserve"> </v>
      </c>
      <c r="K355" t="str" cm="1">
        <f t="array" ref="K355">IF(F355=0," ",IF(ISBLANK(INDEX(Initial_Component_aggregator!H:H,MATCH(F355,Initial_Component_aggregator!B:B))),D355,INDEX(Initial_Component_aggregator!I:I,MATCH(J355,Initial_Component_aggregator!H:H))))</f>
        <v xml:space="preserve"> </v>
      </c>
      <c r="L355" t="str" cm="1">
        <f t="array" ref="L355">IF(F355=0," ",IF(ISBLANK(INDEX(Initial_Component_aggregator!H:H,MATCH(F355,Initial_Component_aggregator!B:B))),E355,INDEX(Initial_Component_aggregator!J:J,MATCH(J355,Initial_Component_aggregator!H:H))))</f>
        <v xml:space="preserve"> </v>
      </c>
      <c r="M355" t="str" cm="1">
        <f t="array" ref="M355">IF(F355=0," ",IF(ISBLANK(INDEX(Initial_Component_aggregator!H:H,MATCH(F355,Initial_Component_aggregator!B:B))),F355,INDEX(Initial_Component_aggregator!K:K,MATCH(J355,Initial_Component_aggregator!H:H))))</f>
        <v xml:space="preserve"> </v>
      </c>
    </row>
    <row r="356" spans="1:13" ht="36" customHeight="1">
      <c r="A356"/>
      <c r="B356"/>
      <c r="C356"/>
      <c r="D356"/>
      <c r="E356"/>
      <c r="F356"/>
      <c r="G356"/>
      <c r="H356" t="str">
        <f t="shared" si="5"/>
        <v xml:space="preserve"> </v>
      </c>
      <c r="I356" t="str" cm="1">
        <f t="array" ref="I356">IF(F356=0," ",IF(ISBLANK(INDEX(Initial_Component_aggregator!F:F,MATCH(F356,Initial_Component_aggregator!B:B,0))),"No change",INDEX(Initial_Component_aggregator!F:F,MATCH(F356,Initial_Component_aggregator!B:B,0))))</f>
        <v xml:space="preserve"> </v>
      </c>
      <c r="J356" t="str" cm="1">
        <f t="array" ref="J356">IF(F356=0," ",IF(ISBLANK(INDEX(Initial_Component_aggregator!H:H,MATCH(F356,Initial_Component_aggregator!B:B,0))),F356,INDEX(Initial_Component_aggregator!H:H,MATCH(F356,Initial_Component_aggregator!B:B,0))))</f>
        <v xml:space="preserve"> </v>
      </c>
      <c r="K356" t="str" cm="1">
        <f t="array" ref="K356">IF(F356=0," ",IF(ISBLANK(INDEX(Initial_Component_aggregator!H:H,MATCH(F356,Initial_Component_aggregator!B:B))),D356,INDEX(Initial_Component_aggregator!I:I,MATCH(J356,Initial_Component_aggregator!H:H))))</f>
        <v xml:space="preserve"> </v>
      </c>
      <c r="L356" t="str" cm="1">
        <f t="array" ref="L356">IF(F356=0," ",IF(ISBLANK(INDEX(Initial_Component_aggregator!H:H,MATCH(F356,Initial_Component_aggregator!B:B))),E356,INDEX(Initial_Component_aggregator!J:J,MATCH(J356,Initial_Component_aggregator!H:H))))</f>
        <v xml:space="preserve"> </v>
      </c>
      <c r="M356" t="str" cm="1">
        <f t="array" ref="M356">IF(F356=0," ",IF(ISBLANK(INDEX(Initial_Component_aggregator!H:H,MATCH(F356,Initial_Component_aggregator!B:B))),F356,INDEX(Initial_Component_aggregator!K:K,MATCH(J356,Initial_Component_aggregator!H:H))))</f>
        <v xml:space="preserve"> </v>
      </c>
    </row>
    <row r="357" spans="1:13" ht="36" customHeight="1">
      <c r="A357"/>
      <c r="B357"/>
      <c r="C357"/>
      <c r="D357"/>
      <c r="E357"/>
      <c r="F357"/>
      <c r="G357"/>
      <c r="H357" t="str">
        <f t="shared" si="5"/>
        <v xml:space="preserve"> </v>
      </c>
      <c r="I357" t="str" cm="1">
        <f t="array" ref="I357">IF(F357=0," ",IF(ISBLANK(INDEX(Initial_Component_aggregator!F:F,MATCH(F357,Initial_Component_aggregator!B:B,0))),"No change",INDEX(Initial_Component_aggregator!F:F,MATCH(F357,Initial_Component_aggregator!B:B,0))))</f>
        <v xml:space="preserve"> </v>
      </c>
      <c r="J357" t="str" cm="1">
        <f t="array" ref="J357">IF(F357=0," ",IF(ISBLANK(INDEX(Initial_Component_aggregator!H:H,MATCH(F357,Initial_Component_aggregator!B:B,0))),F357,INDEX(Initial_Component_aggregator!H:H,MATCH(F357,Initial_Component_aggregator!B:B,0))))</f>
        <v xml:space="preserve"> </v>
      </c>
      <c r="K357" t="str" cm="1">
        <f t="array" ref="K357">IF(F357=0," ",IF(ISBLANK(INDEX(Initial_Component_aggregator!H:H,MATCH(F357,Initial_Component_aggregator!B:B))),D357,INDEX(Initial_Component_aggregator!I:I,MATCH(J357,Initial_Component_aggregator!H:H))))</f>
        <v xml:space="preserve"> </v>
      </c>
      <c r="L357" t="str" cm="1">
        <f t="array" ref="L357">IF(F357=0," ",IF(ISBLANK(INDEX(Initial_Component_aggregator!H:H,MATCH(F357,Initial_Component_aggregator!B:B))),E357,INDEX(Initial_Component_aggregator!J:J,MATCH(J357,Initial_Component_aggregator!H:H))))</f>
        <v xml:space="preserve"> </v>
      </c>
      <c r="M357" t="str" cm="1">
        <f t="array" ref="M357">IF(F357=0," ",IF(ISBLANK(INDEX(Initial_Component_aggregator!H:H,MATCH(F357,Initial_Component_aggregator!B:B))),F357,INDEX(Initial_Component_aggregator!K:K,MATCH(J357,Initial_Component_aggregator!H:H))))</f>
        <v xml:space="preserve"> </v>
      </c>
    </row>
    <row r="358" spans="1:13" ht="36" customHeight="1">
      <c r="A358"/>
      <c r="B358"/>
      <c r="C358"/>
      <c r="D358"/>
      <c r="E358"/>
      <c r="F358"/>
      <c r="G358"/>
      <c r="H358" t="str">
        <f t="shared" si="5"/>
        <v xml:space="preserve"> </v>
      </c>
      <c r="I358" t="str" cm="1">
        <f t="array" ref="I358">IF(F358=0," ",IF(ISBLANK(INDEX(Initial_Component_aggregator!F:F,MATCH(F358,Initial_Component_aggregator!B:B,0))),"No change",INDEX(Initial_Component_aggregator!F:F,MATCH(F358,Initial_Component_aggregator!B:B,0))))</f>
        <v xml:space="preserve"> </v>
      </c>
      <c r="J358" t="str" cm="1">
        <f t="array" ref="J358">IF(F358=0," ",IF(ISBLANK(INDEX(Initial_Component_aggregator!H:H,MATCH(F358,Initial_Component_aggregator!B:B,0))),F358,INDEX(Initial_Component_aggregator!H:H,MATCH(F358,Initial_Component_aggregator!B:B,0))))</f>
        <v xml:space="preserve"> </v>
      </c>
      <c r="K358" t="str" cm="1">
        <f t="array" ref="K358">IF(F358=0," ",IF(ISBLANK(INDEX(Initial_Component_aggregator!H:H,MATCH(F358,Initial_Component_aggregator!B:B))),D358,INDEX(Initial_Component_aggregator!I:I,MATCH(J358,Initial_Component_aggregator!H:H))))</f>
        <v xml:space="preserve"> </v>
      </c>
      <c r="L358" t="str" cm="1">
        <f t="array" ref="L358">IF(F358=0," ",IF(ISBLANK(INDEX(Initial_Component_aggregator!H:H,MATCH(F358,Initial_Component_aggregator!B:B))),E358,INDEX(Initial_Component_aggregator!J:J,MATCH(J358,Initial_Component_aggregator!H:H))))</f>
        <v xml:space="preserve"> </v>
      </c>
      <c r="M358" t="str" cm="1">
        <f t="array" ref="M358">IF(F358=0," ",IF(ISBLANK(INDEX(Initial_Component_aggregator!H:H,MATCH(F358,Initial_Component_aggregator!B:B))),F358,INDEX(Initial_Component_aggregator!K:K,MATCH(J358,Initial_Component_aggregator!H:H))))</f>
        <v xml:space="preserve"> </v>
      </c>
    </row>
    <row r="359" spans="1:13" ht="36" customHeight="1">
      <c r="A359"/>
      <c r="B359"/>
      <c r="C359"/>
      <c r="D359"/>
      <c r="E359"/>
      <c r="F359"/>
      <c r="G359"/>
      <c r="H359" t="str">
        <f t="shared" si="5"/>
        <v xml:space="preserve"> </v>
      </c>
      <c r="I359" t="str" cm="1">
        <f t="array" ref="I359">IF(F359=0," ",IF(ISBLANK(INDEX(Initial_Component_aggregator!F:F,MATCH(F359,Initial_Component_aggregator!B:B,0))),"No change",INDEX(Initial_Component_aggregator!F:F,MATCH(F359,Initial_Component_aggregator!B:B,0))))</f>
        <v xml:space="preserve"> </v>
      </c>
      <c r="J359" t="str" cm="1">
        <f t="array" ref="J359">IF(F359=0," ",IF(ISBLANK(INDEX(Initial_Component_aggregator!H:H,MATCH(F359,Initial_Component_aggregator!B:B,0))),F359,INDEX(Initial_Component_aggregator!H:H,MATCH(F359,Initial_Component_aggregator!B:B,0))))</f>
        <v xml:space="preserve"> </v>
      </c>
      <c r="K359" t="str" cm="1">
        <f t="array" ref="K359">IF(F359=0," ",IF(ISBLANK(INDEX(Initial_Component_aggregator!H:H,MATCH(F359,Initial_Component_aggregator!B:B))),D359,INDEX(Initial_Component_aggregator!I:I,MATCH(J359,Initial_Component_aggregator!H:H))))</f>
        <v xml:space="preserve"> </v>
      </c>
      <c r="L359" t="str" cm="1">
        <f t="array" ref="L359">IF(F359=0," ",IF(ISBLANK(INDEX(Initial_Component_aggregator!H:H,MATCH(F359,Initial_Component_aggregator!B:B))),E359,INDEX(Initial_Component_aggregator!J:J,MATCH(J359,Initial_Component_aggregator!H:H))))</f>
        <v xml:space="preserve"> </v>
      </c>
      <c r="M359" t="str" cm="1">
        <f t="array" ref="M359">IF(F359=0," ",IF(ISBLANK(INDEX(Initial_Component_aggregator!H:H,MATCH(F359,Initial_Component_aggregator!B:B))),F359,INDEX(Initial_Component_aggregator!K:K,MATCH(J359,Initial_Component_aggregator!H:H))))</f>
        <v xml:space="preserve"> </v>
      </c>
    </row>
    <row r="360" spans="1:13" ht="36" customHeight="1">
      <c r="A360"/>
      <c r="B360"/>
      <c r="C360"/>
      <c r="D360"/>
      <c r="E360"/>
      <c r="F360"/>
      <c r="G360"/>
      <c r="H360" t="str">
        <f t="shared" si="5"/>
        <v xml:space="preserve"> </v>
      </c>
      <c r="I360" t="str" cm="1">
        <f t="array" ref="I360">IF(F360=0," ",IF(ISBLANK(INDEX(Initial_Component_aggregator!F:F,MATCH(F360,Initial_Component_aggregator!B:B,0))),"No change",INDEX(Initial_Component_aggregator!F:F,MATCH(F360,Initial_Component_aggregator!B:B,0))))</f>
        <v xml:space="preserve"> </v>
      </c>
      <c r="J360" t="str" cm="1">
        <f t="array" ref="J360">IF(F360=0," ",IF(ISBLANK(INDEX(Initial_Component_aggregator!H:H,MATCH(F360,Initial_Component_aggregator!B:B,0))),F360,INDEX(Initial_Component_aggregator!H:H,MATCH(F360,Initial_Component_aggregator!B:B,0))))</f>
        <v xml:space="preserve"> </v>
      </c>
      <c r="K360" t="str" cm="1">
        <f t="array" ref="K360">IF(F360=0," ",IF(ISBLANK(INDEX(Initial_Component_aggregator!H:H,MATCH(F360,Initial_Component_aggregator!B:B))),D360,INDEX(Initial_Component_aggregator!I:I,MATCH(J360,Initial_Component_aggregator!H:H))))</f>
        <v xml:space="preserve"> </v>
      </c>
      <c r="L360" t="str" cm="1">
        <f t="array" ref="L360">IF(F360=0," ",IF(ISBLANK(INDEX(Initial_Component_aggregator!H:H,MATCH(F360,Initial_Component_aggregator!B:B))),E360,INDEX(Initial_Component_aggregator!J:J,MATCH(J360,Initial_Component_aggregator!H:H))))</f>
        <v xml:space="preserve"> </v>
      </c>
      <c r="M360" t="str" cm="1">
        <f t="array" ref="M360">IF(F360=0," ",IF(ISBLANK(INDEX(Initial_Component_aggregator!H:H,MATCH(F360,Initial_Component_aggregator!B:B))),F360,INDEX(Initial_Component_aggregator!K:K,MATCH(J360,Initial_Component_aggregator!H:H))))</f>
        <v xml:space="preserve"> </v>
      </c>
    </row>
    <row r="361" spans="1:13" ht="36" customHeight="1">
      <c r="A361"/>
      <c r="B361"/>
      <c r="C361"/>
      <c r="D361"/>
      <c r="E361"/>
      <c r="F361"/>
      <c r="G361"/>
      <c r="H361" t="str">
        <f t="shared" si="5"/>
        <v xml:space="preserve"> </v>
      </c>
      <c r="I361" t="str" cm="1">
        <f t="array" ref="I361">IF(F361=0," ",IF(ISBLANK(INDEX(Initial_Component_aggregator!F:F,MATCH(F361,Initial_Component_aggregator!B:B,0))),"No change",INDEX(Initial_Component_aggregator!F:F,MATCH(F361,Initial_Component_aggregator!B:B,0))))</f>
        <v xml:space="preserve"> </v>
      </c>
      <c r="J361" t="str" cm="1">
        <f t="array" ref="J361">IF(F361=0," ",IF(ISBLANK(INDEX(Initial_Component_aggregator!H:H,MATCH(F361,Initial_Component_aggregator!B:B,0))),F361,INDEX(Initial_Component_aggregator!H:H,MATCH(F361,Initial_Component_aggregator!B:B,0))))</f>
        <v xml:space="preserve"> </v>
      </c>
      <c r="K361" t="str" cm="1">
        <f t="array" ref="K361">IF(F361=0," ",IF(ISBLANK(INDEX(Initial_Component_aggregator!H:H,MATCH(F361,Initial_Component_aggregator!B:B))),D361,INDEX(Initial_Component_aggregator!I:I,MATCH(J361,Initial_Component_aggregator!H:H))))</f>
        <v xml:space="preserve"> </v>
      </c>
      <c r="L361" t="str" cm="1">
        <f t="array" ref="L361">IF(F361=0," ",IF(ISBLANK(INDEX(Initial_Component_aggregator!H:H,MATCH(F361,Initial_Component_aggregator!B:B))),E361,INDEX(Initial_Component_aggregator!J:J,MATCH(J361,Initial_Component_aggregator!H:H))))</f>
        <v xml:space="preserve"> </v>
      </c>
      <c r="M361" t="str" cm="1">
        <f t="array" ref="M361">IF(F361=0," ",IF(ISBLANK(INDEX(Initial_Component_aggregator!H:H,MATCH(F361,Initial_Component_aggregator!B:B))),F361,INDEX(Initial_Component_aggregator!K:K,MATCH(J361,Initial_Component_aggregator!H:H))))</f>
        <v xml:space="preserve"> </v>
      </c>
    </row>
    <row r="362" spans="1:13" ht="36" customHeight="1">
      <c r="A362"/>
      <c r="B362"/>
      <c r="C362"/>
      <c r="D362"/>
      <c r="E362"/>
      <c r="F362"/>
      <c r="G362"/>
      <c r="H362" t="str">
        <f t="shared" si="5"/>
        <v xml:space="preserve"> </v>
      </c>
      <c r="I362" t="str" cm="1">
        <f t="array" ref="I362">IF(F362=0," ",IF(ISBLANK(INDEX(Initial_Component_aggregator!F:F,MATCH(F362,Initial_Component_aggregator!B:B,0))),"No change",INDEX(Initial_Component_aggregator!F:F,MATCH(F362,Initial_Component_aggregator!B:B,0))))</f>
        <v xml:space="preserve"> </v>
      </c>
      <c r="J362" t="str" cm="1">
        <f t="array" ref="J362">IF(F362=0," ",IF(ISBLANK(INDEX(Initial_Component_aggregator!H:H,MATCH(F362,Initial_Component_aggregator!B:B,0))),F362,INDEX(Initial_Component_aggregator!H:H,MATCH(F362,Initial_Component_aggregator!B:B,0))))</f>
        <v xml:space="preserve"> </v>
      </c>
      <c r="K362" t="str" cm="1">
        <f t="array" ref="K362">IF(F362=0," ",IF(ISBLANK(INDEX(Initial_Component_aggregator!H:H,MATCH(F362,Initial_Component_aggregator!B:B))),D362,INDEX(Initial_Component_aggregator!I:I,MATCH(J362,Initial_Component_aggregator!H:H))))</f>
        <v xml:space="preserve"> </v>
      </c>
      <c r="L362" t="str" cm="1">
        <f t="array" ref="L362">IF(F362=0," ",IF(ISBLANK(INDEX(Initial_Component_aggregator!H:H,MATCH(F362,Initial_Component_aggregator!B:B))),E362,INDEX(Initial_Component_aggregator!J:J,MATCH(J362,Initial_Component_aggregator!H:H))))</f>
        <v xml:space="preserve"> </v>
      </c>
      <c r="M362" t="str" cm="1">
        <f t="array" ref="M362">IF(F362=0," ",IF(ISBLANK(INDEX(Initial_Component_aggregator!H:H,MATCH(F362,Initial_Component_aggregator!B:B))),F362,INDEX(Initial_Component_aggregator!K:K,MATCH(J362,Initial_Component_aggregator!H:H))))</f>
        <v xml:space="preserve"> </v>
      </c>
    </row>
    <row r="363" spans="1:13" ht="36" customHeight="1">
      <c r="A363"/>
      <c r="B363"/>
      <c r="C363"/>
      <c r="D363"/>
      <c r="E363"/>
      <c r="F363"/>
      <c r="G363"/>
      <c r="H363" t="str">
        <f t="shared" si="5"/>
        <v xml:space="preserve"> </v>
      </c>
      <c r="I363" t="str" cm="1">
        <f t="array" ref="I363">IF(F363=0," ",IF(ISBLANK(INDEX(Initial_Component_aggregator!F:F,MATCH(F363,Initial_Component_aggregator!B:B,0))),"No change",INDEX(Initial_Component_aggregator!F:F,MATCH(F363,Initial_Component_aggregator!B:B,0))))</f>
        <v xml:space="preserve"> </v>
      </c>
      <c r="J363" t="str" cm="1">
        <f t="array" ref="J363">IF(F363=0," ",IF(ISBLANK(INDEX(Initial_Component_aggregator!H:H,MATCH(F363,Initial_Component_aggregator!B:B,0))),F363,INDEX(Initial_Component_aggregator!H:H,MATCH(F363,Initial_Component_aggregator!B:B,0))))</f>
        <v xml:space="preserve"> </v>
      </c>
      <c r="K363" t="str" cm="1">
        <f t="array" ref="K363">IF(F363=0," ",IF(ISBLANK(INDEX(Initial_Component_aggregator!H:H,MATCH(F363,Initial_Component_aggregator!B:B))),D363,INDEX(Initial_Component_aggregator!I:I,MATCH(J363,Initial_Component_aggregator!H:H))))</f>
        <v xml:space="preserve"> </v>
      </c>
      <c r="L363" t="str" cm="1">
        <f t="array" ref="L363">IF(F363=0," ",IF(ISBLANK(INDEX(Initial_Component_aggregator!H:H,MATCH(F363,Initial_Component_aggregator!B:B))),E363,INDEX(Initial_Component_aggregator!J:J,MATCH(J363,Initial_Component_aggregator!H:H))))</f>
        <v xml:space="preserve"> </v>
      </c>
      <c r="M363" t="str" cm="1">
        <f t="array" ref="M363">IF(F363=0," ",IF(ISBLANK(INDEX(Initial_Component_aggregator!H:H,MATCH(F363,Initial_Component_aggregator!B:B))),F363,INDEX(Initial_Component_aggregator!K:K,MATCH(J363,Initial_Component_aggregator!H:H))))</f>
        <v xml:space="preserve"> </v>
      </c>
    </row>
    <row r="364" spans="1:13" ht="36" customHeight="1">
      <c r="A364"/>
      <c r="B364"/>
      <c r="C364"/>
      <c r="D364"/>
      <c r="E364"/>
      <c r="F364"/>
      <c r="G364"/>
      <c r="H364" t="str">
        <f t="shared" si="5"/>
        <v xml:space="preserve"> </v>
      </c>
      <c r="I364" t="str" cm="1">
        <f t="array" ref="I364">IF(F364=0," ",IF(ISBLANK(INDEX(Initial_Component_aggregator!F:F,MATCH(F364,Initial_Component_aggregator!B:B,0))),"No change",INDEX(Initial_Component_aggregator!F:F,MATCH(F364,Initial_Component_aggregator!B:B,0))))</f>
        <v xml:space="preserve"> </v>
      </c>
      <c r="J364" t="str" cm="1">
        <f t="array" ref="J364">IF(F364=0," ",IF(ISBLANK(INDEX(Initial_Component_aggregator!H:H,MATCH(F364,Initial_Component_aggregator!B:B,0))),F364,INDEX(Initial_Component_aggregator!H:H,MATCH(F364,Initial_Component_aggregator!B:B,0))))</f>
        <v xml:space="preserve"> </v>
      </c>
      <c r="K364" t="str" cm="1">
        <f t="array" ref="K364">IF(F364=0," ",IF(ISBLANK(INDEX(Initial_Component_aggregator!H:H,MATCH(F364,Initial_Component_aggregator!B:B))),D364,INDEX(Initial_Component_aggregator!I:I,MATCH(J364,Initial_Component_aggregator!H:H))))</f>
        <v xml:space="preserve"> </v>
      </c>
      <c r="L364" t="str" cm="1">
        <f t="array" ref="L364">IF(F364=0," ",IF(ISBLANK(INDEX(Initial_Component_aggregator!H:H,MATCH(F364,Initial_Component_aggregator!B:B))),E364,INDEX(Initial_Component_aggregator!J:J,MATCH(J364,Initial_Component_aggregator!H:H))))</f>
        <v xml:space="preserve"> </v>
      </c>
      <c r="M364" t="str" cm="1">
        <f t="array" ref="M364">IF(F364=0," ",IF(ISBLANK(INDEX(Initial_Component_aggregator!H:H,MATCH(F364,Initial_Component_aggregator!B:B))),F364,INDEX(Initial_Component_aggregator!K:K,MATCH(J364,Initial_Component_aggregator!H:H))))</f>
        <v xml:space="preserve"> </v>
      </c>
    </row>
    <row r="365" spans="1:13" ht="36" customHeight="1">
      <c r="A365"/>
      <c r="B365"/>
      <c r="C365"/>
      <c r="D365"/>
      <c r="E365"/>
      <c r="F365"/>
      <c r="G365"/>
      <c r="H365" t="str">
        <f t="shared" si="5"/>
        <v xml:space="preserve"> </v>
      </c>
      <c r="I365" t="str" cm="1">
        <f t="array" ref="I365">IF(F365=0," ",IF(ISBLANK(INDEX(Initial_Component_aggregator!F:F,MATCH(F365,Initial_Component_aggregator!B:B,0))),"No change",INDEX(Initial_Component_aggregator!F:F,MATCH(F365,Initial_Component_aggregator!B:B,0))))</f>
        <v xml:space="preserve"> </v>
      </c>
      <c r="J365" t="str" cm="1">
        <f t="array" ref="J365">IF(F365=0," ",IF(ISBLANK(INDEX(Initial_Component_aggregator!H:H,MATCH(F365,Initial_Component_aggregator!B:B,0))),F365,INDEX(Initial_Component_aggregator!H:H,MATCH(F365,Initial_Component_aggregator!B:B,0))))</f>
        <v xml:space="preserve"> </v>
      </c>
      <c r="K365" t="str" cm="1">
        <f t="array" ref="K365">IF(F365=0," ",IF(ISBLANK(INDEX(Initial_Component_aggregator!H:H,MATCH(F365,Initial_Component_aggregator!B:B))),D365,INDEX(Initial_Component_aggregator!I:I,MATCH(J365,Initial_Component_aggregator!H:H))))</f>
        <v xml:space="preserve"> </v>
      </c>
      <c r="L365" t="str" cm="1">
        <f t="array" ref="L365">IF(F365=0," ",IF(ISBLANK(INDEX(Initial_Component_aggregator!H:H,MATCH(F365,Initial_Component_aggregator!B:B))),E365,INDEX(Initial_Component_aggregator!J:J,MATCH(J365,Initial_Component_aggregator!H:H))))</f>
        <v xml:space="preserve"> </v>
      </c>
      <c r="M365" t="str" cm="1">
        <f t="array" ref="M365">IF(F365=0," ",IF(ISBLANK(INDEX(Initial_Component_aggregator!H:H,MATCH(F365,Initial_Component_aggregator!B:B))),F365,INDEX(Initial_Component_aggregator!K:K,MATCH(J365,Initial_Component_aggregator!H:H))))</f>
        <v xml:space="preserve"> </v>
      </c>
    </row>
    <row r="366" spans="1:13" ht="36" customHeight="1">
      <c r="A366"/>
      <c r="B366"/>
      <c r="C366"/>
      <c r="D366"/>
      <c r="E366"/>
      <c r="F366"/>
      <c r="G366"/>
      <c r="H366" t="str">
        <f t="shared" si="5"/>
        <v xml:space="preserve"> </v>
      </c>
      <c r="I366" t="str" cm="1">
        <f t="array" ref="I366">IF(F366=0," ",IF(ISBLANK(INDEX(Initial_Component_aggregator!F:F,MATCH(F366,Initial_Component_aggregator!B:B,0))),"No change",INDEX(Initial_Component_aggregator!F:F,MATCH(F366,Initial_Component_aggregator!B:B,0))))</f>
        <v xml:space="preserve"> </v>
      </c>
      <c r="J366" t="str" cm="1">
        <f t="array" ref="J366">IF(F366=0," ",IF(ISBLANK(INDEX(Initial_Component_aggregator!H:H,MATCH(F366,Initial_Component_aggregator!B:B,0))),F366,INDEX(Initial_Component_aggregator!H:H,MATCH(F366,Initial_Component_aggregator!B:B,0))))</f>
        <v xml:space="preserve"> </v>
      </c>
      <c r="K366" t="str" cm="1">
        <f t="array" ref="K366">IF(F366=0," ",IF(ISBLANK(INDEX(Initial_Component_aggregator!H:H,MATCH(F366,Initial_Component_aggregator!B:B))),D366,INDEX(Initial_Component_aggregator!I:I,MATCH(J366,Initial_Component_aggregator!H:H))))</f>
        <v xml:space="preserve"> </v>
      </c>
      <c r="L366" t="str" cm="1">
        <f t="array" ref="L366">IF(F366=0," ",IF(ISBLANK(INDEX(Initial_Component_aggregator!H:H,MATCH(F366,Initial_Component_aggregator!B:B))),E366,INDEX(Initial_Component_aggregator!J:J,MATCH(J366,Initial_Component_aggregator!H:H))))</f>
        <v xml:space="preserve"> </v>
      </c>
      <c r="M366" t="str" cm="1">
        <f t="array" ref="M366">IF(F366=0," ",IF(ISBLANK(INDEX(Initial_Component_aggregator!H:H,MATCH(F366,Initial_Component_aggregator!B:B))),F366,INDEX(Initial_Component_aggregator!K:K,MATCH(J366,Initial_Component_aggregator!H:H))))</f>
        <v xml:space="preserve"> </v>
      </c>
    </row>
    <row r="367" spans="1:13" ht="36" customHeight="1">
      <c r="A367"/>
      <c r="B367"/>
      <c r="C367"/>
      <c r="D367"/>
      <c r="E367"/>
      <c r="F367"/>
      <c r="G367"/>
      <c r="H367" t="str">
        <f t="shared" si="5"/>
        <v xml:space="preserve"> </v>
      </c>
      <c r="I367" t="str" cm="1">
        <f t="array" ref="I367">IF(F367=0," ",IF(ISBLANK(INDEX(Initial_Component_aggregator!F:F,MATCH(F367,Initial_Component_aggregator!B:B,0))),"No change",INDEX(Initial_Component_aggregator!F:F,MATCH(F367,Initial_Component_aggregator!B:B,0))))</f>
        <v xml:space="preserve"> </v>
      </c>
      <c r="J367" t="str" cm="1">
        <f t="array" ref="J367">IF(F367=0," ",IF(ISBLANK(INDEX(Initial_Component_aggregator!H:H,MATCH(F367,Initial_Component_aggregator!B:B,0))),F367,INDEX(Initial_Component_aggregator!H:H,MATCH(F367,Initial_Component_aggregator!B:B,0))))</f>
        <v xml:space="preserve"> </v>
      </c>
      <c r="K367" t="str" cm="1">
        <f t="array" ref="K367">IF(F367=0," ",IF(ISBLANK(INDEX(Initial_Component_aggregator!H:H,MATCH(F367,Initial_Component_aggregator!B:B))),D367,INDEX(Initial_Component_aggregator!I:I,MATCH(J367,Initial_Component_aggregator!H:H))))</f>
        <v xml:space="preserve"> </v>
      </c>
      <c r="L367" t="str" cm="1">
        <f t="array" ref="L367">IF(F367=0," ",IF(ISBLANK(INDEX(Initial_Component_aggregator!H:H,MATCH(F367,Initial_Component_aggregator!B:B))),E367,INDEX(Initial_Component_aggregator!J:J,MATCH(J367,Initial_Component_aggregator!H:H))))</f>
        <v xml:space="preserve"> </v>
      </c>
      <c r="M367" t="str" cm="1">
        <f t="array" ref="M367">IF(F367=0," ",IF(ISBLANK(INDEX(Initial_Component_aggregator!H:H,MATCH(F367,Initial_Component_aggregator!B:B))),F367,INDEX(Initial_Component_aggregator!K:K,MATCH(J367,Initial_Component_aggregator!H:H))))</f>
        <v xml:space="preserve"> </v>
      </c>
    </row>
    <row r="368" spans="1:13" ht="36" customHeight="1">
      <c r="A368"/>
      <c r="B368"/>
      <c r="C368"/>
      <c r="D368"/>
      <c r="E368"/>
      <c r="F368"/>
      <c r="G368"/>
      <c r="H368" t="str">
        <f t="shared" si="5"/>
        <v xml:space="preserve"> </v>
      </c>
      <c r="I368" t="str" cm="1">
        <f t="array" ref="I368">IF(F368=0," ",IF(ISBLANK(INDEX(Initial_Component_aggregator!F:F,MATCH(F368,Initial_Component_aggregator!B:B,0))),"No change",INDEX(Initial_Component_aggregator!F:F,MATCH(F368,Initial_Component_aggregator!B:B,0))))</f>
        <v xml:space="preserve"> </v>
      </c>
      <c r="J368" t="str" cm="1">
        <f t="array" ref="J368">IF(F368=0," ",IF(ISBLANK(INDEX(Initial_Component_aggregator!H:H,MATCH(F368,Initial_Component_aggregator!B:B,0))),F368,INDEX(Initial_Component_aggregator!H:H,MATCH(F368,Initial_Component_aggregator!B:B,0))))</f>
        <v xml:space="preserve"> </v>
      </c>
      <c r="K368" t="str" cm="1">
        <f t="array" ref="K368">IF(F368=0," ",IF(ISBLANK(INDEX(Initial_Component_aggregator!H:H,MATCH(F368,Initial_Component_aggregator!B:B))),D368,INDEX(Initial_Component_aggregator!I:I,MATCH(J368,Initial_Component_aggregator!H:H))))</f>
        <v xml:space="preserve"> </v>
      </c>
      <c r="L368" t="str" cm="1">
        <f t="array" ref="L368">IF(F368=0," ",IF(ISBLANK(INDEX(Initial_Component_aggregator!H:H,MATCH(F368,Initial_Component_aggregator!B:B))),E368,INDEX(Initial_Component_aggregator!J:J,MATCH(J368,Initial_Component_aggregator!H:H))))</f>
        <v xml:space="preserve"> </v>
      </c>
      <c r="M368" t="str" cm="1">
        <f t="array" ref="M368">IF(F368=0," ",IF(ISBLANK(INDEX(Initial_Component_aggregator!H:H,MATCH(F368,Initial_Component_aggregator!B:B))),F368,INDEX(Initial_Component_aggregator!K:K,MATCH(J368,Initial_Component_aggregator!H:H))))</f>
        <v xml:space="preserve"> </v>
      </c>
    </row>
    <row r="369" spans="1:13" ht="36" customHeight="1">
      <c r="A369"/>
      <c r="B369"/>
      <c r="C369"/>
      <c r="D369"/>
      <c r="E369"/>
      <c r="F369"/>
      <c r="G369"/>
      <c r="H369" t="str">
        <f t="shared" si="5"/>
        <v xml:space="preserve"> </v>
      </c>
      <c r="I369" t="str" cm="1">
        <f t="array" ref="I369">IF(F369=0," ",IF(ISBLANK(INDEX(Initial_Component_aggregator!F:F,MATCH(F369,Initial_Component_aggregator!B:B,0))),"No change",INDEX(Initial_Component_aggregator!F:F,MATCH(F369,Initial_Component_aggregator!B:B,0))))</f>
        <v xml:space="preserve"> </v>
      </c>
      <c r="J369" t="str" cm="1">
        <f t="array" ref="J369">IF(F369=0," ",IF(ISBLANK(INDEX(Initial_Component_aggregator!H:H,MATCH(F369,Initial_Component_aggregator!B:B,0))),F369,INDEX(Initial_Component_aggregator!H:H,MATCH(F369,Initial_Component_aggregator!B:B,0))))</f>
        <v xml:space="preserve"> </v>
      </c>
      <c r="K369" t="str" cm="1">
        <f t="array" ref="K369">IF(F369=0," ",IF(ISBLANK(INDEX(Initial_Component_aggregator!H:H,MATCH(F369,Initial_Component_aggregator!B:B))),D369,INDEX(Initial_Component_aggregator!I:I,MATCH(J369,Initial_Component_aggregator!H:H))))</f>
        <v xml:space="preserve"> </v>
      </c>
      <c r="L369" t="str" cm="1">
        <f t="array" ref="L369">IF(F369=0," ",IF(ISBLANK(INDEX(Initial_Component_aggregator!H:H,MATCH(F369,Initial_Component_aggregator!B:B))),E369,INDEX(Initial_Component_aggregator!J:J,MATCH(J369,Initial_Component_aggregator!H:H))))</f>
        <v xml:space="preserve"> </v>
      </c>
      <c r="M369" t="str" cm="1">
        <f t="array" ref="M369">IF(F369=0," ",IF(ISBLANK(INDEX(Initial_Component_aggregator!H:H,MATCH(F369,Initial_Component_aggregator!B:B))),F369,INDEX(Initial_Component_aggregator!K:K,MATCH(J369,Initial_Component_aggregator!H:H))))</f>
        <v xml:space="preserve"> </v>
      </c>
    </row>
    <row r="370" spans="1:13" ht="36" customHeight="1">
      <c r="A370"/>
      <c r="B370"/>
      <c r="C370"/>
      <c r="D370"/>
      <c r="E370"/>
      <c r="F370"/>
      <c r="G370"/>
      <c r="H370" t="str">
        <f t="shared" si="5"/>
        <v xml:space="preserve"> </v>
      </c>
      <c r="I370" t="str" cm="1">
        <f t="array" ref="I370">IF(F370=0," ",IF(ISBLANK(INDEX(Initial_Component_aggregator!F:F,MATCH(F370,Initial_Component_aggregator!B:B,0))),"No change",INDEX(Initial_Component_aggregator!F:F,MATCH(F370,Initial_Component_aggregator!B:B,0))))</f>
        <v xml:space="preserve"> </v>
      </c>
      <c r="J370" t="str" cm="1">
        <f t="array" ref="J370">IF(F370=0," ",IF(ISBLANK(INDEX(Initial_Component_aggregator!H:H,MATCH(F370,Initial_Component_aggregator!B:B,0))),F370,INDEX(Initial_Component_aggregator!H:H,MATCH(F370,Initial_Component_aggregator!B:B,0))))</f>
        <v xml:space="preserve"> </v>
      </c>
      <c r="K370" t="str" cm="1">
        <f t="array" ref="K370">IF(F370=0," ",IF(ISBLANK(INDEX(Initial_Component_aggregator!H:H,MATCH(F370,Initial_Component_aggregator!B:B))),D370,INDEX(Initial_Component_aggregator!I:I,MATCH(J370,Initial_Component_aggregator!H:H))))</f>
        <v xml:space="preserve"> </v>
      </c>
      <c r="L370" t="str" cm="1">
        <f t="array" ref="L370">IF(F370=0," ",IF(ISBLANK(INDEX(Initial_Component_aggregator!H:H,MATCH(F370,Initial_Component_aggregator!B:B))),E370,INDEX(Initial_Component_aggregator!J:J,MATCH(J370,Initial_Component_aggregator!H:H))))</f>
        <v xml:space="preserve"> </v>
      </c>
      <c r="M370" t="str" cm="1">
        <f t="array" ref="M370">IF(F370=0," ",IF(ISBLANK(INDEX(Initial_Component_aggregator!H:H,MATCH(F370,Initial_Component_aggregator!B:B))),F370,INDEX(Initial_Component_aggregator!K:K,MATCH(J370,Initial_Component_aggregator!H:H))))</f>
        <v xml:space="preserve"> </v>
      </c>
    </row>
    <row r="371" spans="1:13" ht="36" customHeight="1">
      <c r="A371"/>
      <c r="B371"/>
      <c r="C371"/>
      <c r="D371"/>
      <c r="E371"/>
      <c r="F371"/>
      <c r="G371"/>
      <c r="H371" t="str">
        <f t="shared" si="5"/>
        <v xml:space="preserve"> </v>
      </c>
      <c r="I371" t="str" cm="1">
        <f t="array" ref="I371">IF(F371=0," ",IF(ISBLANK(INDEX(Initial_Component_aggregator!F:F,MATCH(F371,Initial_Component_aggregator!B:B,0))),"No change",INDEX(Initial_Component_aggregator!F:F,MATCH(F371,Initial_Component_aggregator!B:B,0))))</f>
        <v xml:space="preserve"> </v>
      </c>
      <c r="J371" t="str" cm="1">
        <f t="array" ref="J371">IF(F371=0," ",IF(ISBLANK(INDEX(Initial_Component_aggregator!H:H,MATCH(F371,Initial_Component_aggregator!B:B,0))),F371,INDEX(Initial_Component_aggregator!H:H,MATCH(F371,Initial_Component_aggregator!B:B,0))))</f>
        <v xml:space="preserve"> </v>
      </c>
      <c r="K371" t="str" cm="1">
        <f t="array" ref="K371">IF(F371=0," ",IF(ISBLANK(INDEX(Initial_Component_aggregator!H:H,MATCH(F371,Initial_Component_aggregator!B:B))),D371,INDEX(Initial_Component_aggregator!I:I,MATCH(J371,Initial_Component_aggregator!H:H))))</f>
        <v xml:space="preserve"> </v>
      </c>
      <c r="L371" t="str" cm="1">
        <f t="array" ref="L371">IF(F371=0," ",IF(ISBLANK(INDEX(Initial_Component_aggregator!H:H,MATCH(F371,Initial_Component_aggregator!B:B))),E371,INDEX(Initial_Component_aggregator!J:J,MATCH(J371,Initial_Component_aggregator!H:H))))</f>
        <v xml:space="preserve"> </v>
      </c>
      <c r="M371" t="str" cm="1">
        <f t="array" ref="M371">IF(F371=0," ",IF(ISBLANK(INDEX(Initial_Component_aggregator!H:H,MATCH(F371,Initial_Component_aggregator!B:B))),F371,INDEX(Initial_Component_aggregator!K:K,MATCH(J371,Initial_Component_aggregator!H:H))))</f>
        <v xml:space="preserve"> </v>
      </c>
    </row>
    <row r="372" spans="1:13" ht="36" customHeight="1">
      <c r="A372"/>
      <c r="B372"/>
      <c r="C372"/>
      <c r="D372"/>
      <c r="E372"/>
      <c r="F372"/>
      <c r="G372"/>
      <c r="H372" t="str">
        <f t="shared" si="5"/>
        <v xml:space="preserve"> </v>
      </c>
      <c r="I372" t="str" cm="1">
        <f t="array" ref="I372">IF(F372=0," ",IF(ISBLANK(INDEX(Initial_Component_aggregator!F:F,MATCH(F372,Initial_Component_aggregator!B:B,0))),"No change",INDEX(Initial_Component_aggregator!F:F,MATCH(F372,Initial_Component_aggregator!B:B,0))))</f>
        <v xml:space="preserve"> </v>
      </c>
      <c r="J372" t="str" cm="1">
        <f t="array" ref="J372">IF(F372=0," ",IF(ISBLANK(INDEX(Initial_Component_aggregator!H:H,MATCH(F372,Initial_Component_aggregator!B:B,0))),F372,INDEX(Initial_Component_aggregator!H:H,MATCH(F372,Initial_Component_aggregator!B:B,0))))</f>
        <v xml:space="preserve"> </v>
      </c>
      <c r="K372" t="str" cm="1">
        <f t="array" ref="K372">IF(F372=0," ",IF(ISBLANK(INDEX(Initial_Component_aggregator!H:H,MATCH(F372,Initial_Component_aggregator!B:B))),D372,INDEX(Initial_Component_aggregator!I:I,MATCH(J372,Initial_Component_aggregator!H:H))))</f>
        <v xml:space="preserve"> </v>
      </c>
      <c r="L372" t="str" cm="1">
        <f t="array" ref="L372">IF(F372=0," ",IF(ISBLANK(INDEX(Initial_Component_aggregator!H:H,MATCH(F372,Initial_Component_aggregator!B:B))),E372,INDEX(Initial_Component_aggregator!J:J,MATCH(J372,Initial_Component_aggregator!H:H))))</f>
        <v xml:space="preserve"> </v>
      </c>
      <c r="M372" t="str" cm="1">
        <f t="array" ref="M372">IF(F372=0," ",IF(ISBLANK(INDEX(Initial_Component_aggregator!H:H,MATCH(F372,Initial_Component_aggregator!B:B))),F372,INDEX(Initial_Component_aggregator!K:K,MATCH(J372,Initial_Component_aggregator!H:H))))</f>
        <v xml:space="preserve"> </v>
      </c>
    </row>
    <row r="373" spans="1:13" ht="36" customHeight="1">
      <c r="A373"/>
      <c r="B373"/>
      <c r="C373"/>
      <c r="D373"/>
      <c r="E373"/>
      <c r="F373"/>
      <c r="G373"/>
      <c r="H373" t="str">
        <f t="shared" si="5"/>
        <v xml:space="preserve"> </v>
      </c>
      <c r="I373" t="str" cm="1">
        <f t="array" ref="I373">IF(F373=0," ",IF(ISBLANK(INDEX(Initial_Component_aggregator!F:F,MATCH(F373,Initial_Component_aggregator!B:B,0))),"No change",INDEX(Initial_Component_aggregator!F:F,MATCH(F373,Initial_Component_aggregator!B:B,0))))</f>
        <v xml:space="preserve"> </v>
      </c>
      <c r="J373" t="str" cm="1">
        <f t="array" ref="J373">IF(F373=0," ",IF(ISBLANK(INDEX(Initial_Component_aggregator!H:H,MATCH(F373,Initial_Component_aggregator!B:B,0))),F373,INDEX(Initial_Component_aggregator!H:H,MATCH(F373,Initial_Component_aggregator!B:B,0))))</f>
        <v xml:space="preserve"> </v>
      </c>
      <c r="K373" t="str" cm="1">
        <f t="array" ref="K373">IF(F373=0," ",IF(ISBLANK(INDEX(Initial_Component_aggregator!H:H,MATCH(F373,Initial_Component_aggregator!B:B))),D373,INDEX(Initial_Component_aggregator!I:I,MATCH(J373,Initial_Component_aggregator!H:H))))</f>
        <v xml:space="preserve"> </v>
      </c>
      <c r="L373" t="str" cm="1">
        <f t="array" ref="L373">IF(F373=0," ",IF(ISBLANK(INDEX(Initial_Component_aggregator!H:H,MATCH(F373,Initial_Component_aggregator!B:B))),E373,INDEX(Initial_Component_aggregator!J:J,MATCH(J373,Initial_Component_aggregator!H:H))))</f>
        <v xml:space="preserve"> </v>
      </c>
      <c r="M373" t="str" cm="1">
        <f t="array" ref="M373">IF(F373=0," ",IF(ISBLANK(INDEX(Initial_Component_aggregator!H:H,MATCH(F373,Initial_Component_aggregator!B:B))),F373,INDEX(Initial_Component_aggregator!K:K,MATCH(J373,Initial_Component_aggregator!H:H))))</f>
        <v xml:space="preserve"> </v>
      </c>
    </row>
    <row r="374" spans="1:13" ht="36" customHeight="1">
      <c r="A374"/>
      <c r="B374"/>
      <c r="C374"/>
      <c r="D374"/>
      <c r="E374"/>
      <c r="F374"/>
      <c r="G374"/>
      <c r="H374" t="str">
        <f t="shared" si="5"/>
        <v xml:space="preserve"> </v>
      </c>
      <c r="I374" t="str" cm="1">
        <f t="array" ref="I374">IF(F374=0," ",IF(ISBLANK(INDEX(Initial_Component_aggregator!F:F,MATCH(F374,Initial_Component_aggregator!B:B,0))),"No change",INDEX(Initial_Component_aggregator!F:F,MATCH(F374,Initial_Component_aggregator!B:B,0))))</f>
        <v xml:space="preserve"> </v>
      </c>
      <c r="J374" t="str" cm="1">
        <f t="array" ref="J374">IF(F374=0," ",IF(ISBLANK(INDEX(Initial_Component_aggregator!H:H,MATCH(F374,Initial_Component_aggregator!B:B,0))),F374,INDEX(Initial_Component_aggregator!H:H,MATCH(F374,Initial_Component_aggregator!B:B,0))))</f>
        <v xml:space="preserve"> </v>
      </c>
      <c r="K374" t="str" cm="1">
        <f t="array" ref="K374">IF(F374=0," ",IF(ISBLANK(INDEX(Initial_Component_aggregator!H:H,MATCH(F374,Initial_Component_aggregator!B:B))),D374,INDEX(Initial_Component_aggregator!I:I,MATCH(J374,Initial_Component_aggregator!H:H))))</f>
        <v xml:space="preserve"> </v>
      </c>
      <c r="L374" t="str" cm="1">
        <f t="array" ref="L374">IF(F374=0," ",IF(ISBLANK(INDEX(Initial_Component_aggregator!H:H,MATCH(F374,Initial_Component_aggregator!B:B))),E374,INDEX(Initial_Component_aggregator!J:J,MATCH(J374,Initial_Component_aggregator!H:H))))</f>
        <v xml:space="preserve"> </v>
      </c>
      <c r="M374" t="str" cm="1">
        <f t="array" ref="M374">IF(F374=0," ",IF(ISBLANK(INDEX(Initial_Component_aggregator!H:H,MATCH(F374,Initial_Component_aggregator!B:B))),F374,INDEX(Initial_Component_aggregator!K:K,MATCH(J374,Initial_Component_aggregator!H:H))))</f>
        <v xml:space="preserve"> </v>
      </c>
    </row>
    <row r="375" spans="1:13" ht="36" customHeight="1">
      <c r="A375"/>
      <c r="B375"/>
      <c r="C375"/>
      <c r="D375"/>
      <c r="E375"/>
      <c r="F375"/>
      <c r="G375"/>
      <c r="H375" t="str">
        <f t="shared" si="5"/>
        <v xml:space="preserve"> </v>
      </c>
      <c r="I375" t="str" cm="1">
        <f t="array" ref="I375">IF(F375=0," ",IF(ISBLANK(INDEX(Initial_Component_aggregator!F:F,MATCH(F375,Initial_Component_aggregator!B:B,0))),"No change",INDEX(Initial_Component_aggregator!F:F,MATCH(F375,Initial_Component_aggregator!B:B,0))))</f>
        <v xml:space="preserve"> </v>
      </c>
      <c r="J375" t="str" cm="1">
        <f t="array" ref="J375">IF(F375=0," ",IF(ISBLANK(INDEX(Initial_Component_aggregator!H:H,MATCH(F375,Initial_Component_aggregator!B:B,0))),F375,INDEX(Initial_Component_aggregator!H:H,MATCH(F375,Initial_Component_aggregator!B:B,0))))</f>
        <v xml:space="preserve"> </v>
      </c>
      <c r="K375" t="str" cm="1">
        <f t="array" ref="K375">IF(F375=0," ",IF(ISBLANK(INDEX(Initial_Component_aggregator!H:H,MATCH(F375,Initial_Component_aggregator!B:B))),D375,INDEX(Initial_Component_aggregator!I:I,MATCH(J375,Initial_Component_aggregator!H:H))))</f>
        <v xml:space="preserve"> </v>
      </c>
      <c r="L375" t="str" cm="1">
        <f t="array" ref="L375">IF(F375=0," ",IF(ISBLANK(INDEX(Initial_Component_aggregator!H:H,MATCH(F375,Initial_Component_aggregator!B:B))),E375,INDEX(Initial_Component_aggregator!J:J,MATCH(J375,Initial_Component_aggregator!H:H))))</f>
        <v xml:space="preserve"> </v>
      </c>
      <c r="M375" t="str" cm="1">
        <f t="array" ref="M375">IF(F375=0," ",IF(ISBLANK(INDEX(Initial_Component_aggregator!H:H,MATCH(F375,Initial_Component_aggregator!B:B))),F375,INDEX(Initial_Component_aggregator!K:K,MATCH(J375,Initial_Component_aggregator!H:H))))</f>
        <v xml:space="preserve"> </v>
      </c>
    </row>
    <row r="376" spans="1:13" ht="36" customHeight="1">
      <c r="A376"/>
      <c r="B376"/>
      <c r="C376"/>
      <c r="D376"/>
      <c r="E376"/>
      <c r="F376"/>
      <c r="G376"/>
      <c r="H376" t="str">
        <f t="shared" si="5"/>
        <v xml:space="preserve"> </v>
      </c>
      <c r="I376" t="str" cm="1">
        <f t="array" ref="I376">IF(F376=0," ",IF(ISBLANK(INDEX(Initial_Component_aggregator!F:F,MATCH(F376,Initial_Component_aggregator!B:B,0))),"No change",INDEX(Initial_Component_aggregator!F:F,MATCH(F376,Initial_Component_aggregator!B:B,0))))</f>
        <v xml:space="preserve"> </v>
      </c>
      <c r="J376" t="str" cm="1">
        <f t="array" ref="J376">IF(F376=0," ",IF(ISBLANK(INDEX(Initial_Component_aggregator!H:H,MATCH(F376,Initial_Component_aggregator!B:B,0))),F376,INDEX(Initial_Component_aggregator!H:H,MATCH(F376,Initial_Component_aggregator!B:B,0))))</f>
        <v xml:space="preserve"> </v>
      </c>
      <c r="K376" t="str" cm="1">
        <f t="array" ref="K376">IF(F376=0," ",IF(ISBLANK(INDEX(Initial_Component_aggregator!H:H,MATCH(F376,Initial_Component_aggregator!B:B))),D376,INDEX(Initial_Component_aggregator!I:I,MATCH(J376,Initial_Component_aggregator!H:H))))</f>
        <v xml:space="preserve"> </v>
      </c>
      <c r="L376" t="str" cm="1">
        <f t="array" ref="L376">IF(F376=0," ",IF(ISBLANK(INDEX(Initial_Component_aggregator!H:H,MATCH(F376,Initial_Component_aggregator!B:B))),E376,INDEX(Initial_Component_aggregator!J:J,MATCH(J376,Initial_Component_aggregator!H:H))))</f>
        <v xml:space="preserve"> </v>
      </c>
      <c r="M376" t="str" cm="1">
        <f t="array" ref="M376">IF(F376=0," ",IF(ISBLANK(INDEX(Initial_Component_aggregator!H:H,MATCH(F376,Initial_Component_aggregator!B:B))),F376,INDEX(Initial_Component_aggregator!K:K,MATCH(J376,Initial_Component_aggregator!H:H))))</f>
        <v xml:space="preserve"> </v>
      </c>
    </row>
    <row r="377" spans="1:13" ht="36" customHeight="1">
      <c r="A377"/>
      <c r="B377"/>
      <c r="C377"/>
      <c r="D377"/>
      <c r="E377"/>
      <c r="F377"/>
      <c r="G377"/>
      <c r="H377" t="str">
        <f t="shared" si="5"/>
        <v xml:space="preserve"> </v>
      </c>
      <c r="I377" t="str" cm="1">
        <f t="array" ref="I377">IF(F377=0," ",IF(ISBLANK(INDEX(Initial_Component_aggregator!F:F,MATCH(F377,Initial_Component_aggregator!B:B,0))),"No change",INDEX(Initial_Component_aggregator!F:F,MATCH(F377,Initial_Component_aggregator!B:B,0))))</f>
        <v xml:space="preserve"> </v>
      </c>
      <c r="J377" t="str" cm="1">
        <f t="array" ref="J377">IF(F377=0," ",IF(ISBLANK(INDEX(Initial_Component_aggregator!H:H,MATCH(F377,Initial_Component_aggregator!B:B,0))),F377,INDEX(Initial_Component_aggregator!H:H,MATCH(F377,Initial_Component_aggregator!B:B,0))))</f>
        <v xml:space="preserve"> </v>
      </c>
      <c r="K377" t="str" cm="1">
        <f t="array" ref="K377">IF(F377=0," ",IF(ISBLANK(INDEX(Initial_Component_aggregator!H:H,MATCH(F377,Initial_Component_aggregator!B:B))),D377,INDEX(Initial_Component_aggregator!I:I,MATCH(J377,Initial_Component_aggregator!H:H))))</f>
        <v xml:space="preserve"> </v>
      </c>
      <c r="L377" t="str" cm="1">
        <f t="array" ref="L377">IF(F377=0," ",IF(ISBLANK(INDEX(Initial_Component_aggregator!H:H,MATCH(F377,Initial_Component_aggregator!B:B))),E377,INDEX(Initial_Component_aggregator!J:J,MATCH(J377,Initial_Component_aggregator!H:H))))</f>
        <v xml:space="preserve"> </v>
      </c>
      <c r="M377" t="str" cm="1">
        <f t="array" ref="M377">IF(F377=0," ",IF(ISBLANK(INDEX(Initial_Component_aggregator!H:H,MATCH(F377,Initial_Component_aggregator!B:B))),F377,INDEX(Initial_Component_aggregator!K:K,MATCH(J377,Initial_Component_aggregator!H:H))))</f>
        <v xml:space="preserve"> </v>
      </c>
    </row>
    <row r="378" spans="1:13" ht="36" customHeight="1">
      <c r="A378"/>
      <c r="B378"/>
      <c r="C378"/>
      <c r="D378"/>
      <c r="E378"/>
      <c r="F378"/>
      <c r="G378"/>
      <c r="H378" t="str">
        <f t="shared" si="5"/>
        <v xml:space="preserve"> </v>
      </c>
      <c r="I378" t="str" cm="1">
        <f t="array" ref="I378">IF(F378=0," ",IF(ISBLANK(INDEX(Initial_Component_aggregator!F:F,MATCH(F378,Initial_Component_aggregator!B:B,0))),"No change",INDEX(Initial_Component_aggregator!F:F,MATCH(F378,Initial_Component_aggregator!B:B,0))))</f>
        <v xml:space="preserve"> </v>
      </c>
      <c r="J378" t="str" cm="1">
        <f t="array" ref="J378">IF(F378=0," ",IF(ISBLANK(INDEX(Initial_Component_aggregator!H:H,MATCH(F378,Initial_Component_aggregator!B:B,0))),F378,INDEX(Initial_Component_aggregator!H:H,MATCH(F378,Initial_Component_aggregator!B:B,0))))</f>
        <v xml:space="preserve"> </v>
      </c>
      <c r="K378" t="str" cm="1">
        <f t="array" ref="K378">IF(F378=0," ",IF(ISBLANK(INDEX(Initial_Component_aggregator!H:H,MATCH(F378,Initial_Component_aggregator!B:B))),D378,INDEX(Initial_Component_aggregator!I:I,MATCH(J378,Initial_Component_aggregator!H:H))))</f>
        <v xml:space="preserve"> </v>
      </c>
      <c r="L378" t="str" cm="1">
        <f t="array" ref="L378">IF(F378=0," ",IF(ISBLANK(INDEX(Initial_Component_aggregator!H:H,MATCH(F378,Initial_Component_aggregator!B:B))),E378,INDEX(Initial_Component_aggregator!J:J,MATCH(J378,Initial_Component_aggregator!H:H))))</f>
        <v xml:space="preserve"> </v>
      </c>
      <c r="M378" t="str" cm="1">
        <f t="array" ref="M378">IF(F378=0," ",IF(ISBLANK(INDEX(Initial_Component_aggregator!H:H,MATCH(F378,Initial_Component_aggregator!B:B))),F378,INDEX(Initial_Component_aggregator!K:K,MATCH(J378,Initial_Component_aggregator!H:H))))</f>
        <v xml:space="preserve"> </v>
      </c>
    </row>
    <row r="379" spans="1:13" ht="36" customHeight="1">
      <c r="A379"/>
      <c r="B379"/>
      <c r="C379"/>
      <c r="D379"/>
      <c r="E379"/>
      <c r="F379"/>
      <c r="G379"/>
      <c r="H379" t="str">
        <f t="shared" si="5"/>
        <v xml:space="preserve"> </v>
      </c>
      <c r="I379" t="str" cm="1">
        <f t="array" ref="I379">IF(F379=0," ",IF(ISBLANK(INDEX(Initial_Component_aggregator!F:F,MATCH(F379,Initial_Component_aggregator!B:B,0))),"No change",INDEX(Initial_Component_aggregator!F:F,MATCH(F379,Initial_Component_aggregator!B:B,0))))</f>
        <v xml:space="preserve"> </v>
      </c>
      <c r="J379" t="str" cm="1">
        <f t="array" ref="J379">IF(F379=0," ",IF(ISBLANK(INDEX(Initial_Component_aggregator!H:H,MATCH(F379,Initial_Component_aggregator!B:B,0))),F379,INDEX(Initial_Component_aggregator!H:H,MATCH(F379,Initial_Component_aggregator!B:B,0))))</f>
        <v xml:space="preserve"> </v>
      </c>
      <c r="K379" t="str" cm="1">
        <f t="array" ref="K379">IF(F379=0," ",IF(ISBLANK(INDEX(Initial_Component_aggregator!H:H,MATCH(F379,Initial_Component_aggregator!B:B))),D379,INDEX(Initial_Component_aggregator!I:I,MATCH(J379,Initial_Component_aggregator!H:H))))</f>
        <v xml:space="preserve"> </v>
      </c>
      <c r="L379" t="str" cm="1">
        <f t="array" ref="L379">IF(F379=0," ",IF(ISBLANK(INDEX(Initial_Component_aggregator!H:H,MATCH(F379,Initial_Component_aggregator!B:B))),E379,INDEX(Initial_Component_aggregator!J:J,MATCH(J379,Initial_Component_aggregator!H:H))))</f>
        <v xml:space="preserve"> </v>
      </c>
      <c r="M379" t="str" cm="1">
        <f t="array" ref="M379">IF(F379=0," ",IF(ISBLANK(INDEX(Initial_Component_aggregator!H:H,MATCH(F379,Initial_Component_aggregator!B:B))),F379,INDEX(Initial_Component_aggregator!K:K,MATCH(J379,Initial_Component_aggregator!H:H))))</f>
        <v xml:space="preserve"> </v>
      </c>
    </row>
    <row r="380" spans="1:13" ht="36" customHeight="1">
      <c r="A380"/>
      <c r="B380"/>
      <c r="C380"/>
      <c r="D380"/>
      <c r="E380"/>
      <c r="F380"/>
      <c r="G380"/>
      <c r="H380" t="str">
        <f t="shared" si="5"/>
        <v xml:space="preserve"> </v>
      </c>
      <c r="I380" t="str" cm="1">
        <f t="array" ref="I380">IF(F380=0," ",IF(ISBLANK(INDEX(Initial_Component_aggregator!F:F,MATCH(F380,Initial_Component_aggregator!B:B,0))),"No change",INDEX(Initial_Component_aggregator!F:F,MATCH(F380,Initial_Component_aggregator!B:B,0))))</f>
        <v xml:space="preserve"> </v>
      </c>
      <c r="J380" t="str" cm="1">
        <f t="array" ref="J380">IF(F380=0," ",IF(ISBLANK(INDEX(Initial_Component_aggregator!H:H,MATCH(F380,Initial_Component_aggregator!B:B,0))),F380,INDEX(Initial_Component_aggregator!H:H,MATCH(F380,Initial_Component_aggregator!B:B,0))))</f>
        <v xml:space="preserve"> </v>
      </c>
      <c r="K380" t="str" cm="1">
        <f t="array" ref="K380">IF(F380=0," ",IF(ISBLANK(INDEX(Initial_Component_aggregator!H:H,MATCH(F380,Initial_Component_aggregator!B:B))),D380,INDEX(Initial_Component_aggregator!I:I,MATCH(J380,Initial_Component_aggregator!H:H))))</f>
        <v xml:space="preserve"> </v>
      </c>
      <c r="L380" t="str" cm="1">
        <f t="array" ref="L380">IF(F380=0," ",IF(ISBLANK(INDEX(Initial_Component_aggregator!H:H,MATCH(F380,Initial_Component_aggregator!B:B))),E380,INDEX(Initial_Component_aggregator!J:J,MATCH(J380,Initial_Component_aggregator!H:H))))</f>
        <v xml:space="preserve"> </v>
      </c>
      <c r="M380" t="str" cm="1">
        <f t="array" ref="M380">IF(F380=0," ",IF(ISBLANK(INDEX(Initial_Component_aggregator!H:H,MATCH(F380,Initial_Component_aggregator!B:B))),F380,INDEX(Initial_Component_aggregator!K:K,MATCH(J380,Initial_Component_aggregator!H:H))))</f>
        <v xml:space="preserve"> </v>
      </c>
    </row>
    <row r="381" spans="1:13" ht="36" customHeight="1">
      <c r="A381"/>
      <c r="B381"/>
      <c r="C381"/>
      <c r="D381"/>
      <c r="E381"/>
      <c r="F381"/>
      <c r="G381"/>
      <c r="H381" t="str">
        <f t="shared" si="5"/>
        <v xml:space="preserve"> </v>
      </c>
      <c r="I381" t="str" cm="1">
        <f t="array" ref="I381">IF(F381=0," ",IF(ISBLANK(INDEX(Initial_Component_aggregator!F:F,MATCH(F381,Initial_Component_aggregator!B:B,0))),"No change",INDEX(Initial_Component_aggregator!F:F,MATCH(F381,Initial_Component_aggregator!B:B,0))))</f>
        <v xml:space="preserve"> </v>
      </c>
      <c r="J381" t="str" cm="1">
        <f t="array" ref="J381">IF(F381=0," ",IF(ISBLANK(INDEX(Initial_Component_aggregator!H:H,MATCH(F381,Initial_Component_aggregator!B:B,0))),F381,INDEX(Initial_Component_aggregator!H:H,MATCH(F381,Initial_Component_aggregator!B:B,0))))</f>
        <v xml:space="preserve"> </v>
      </c>
      <c r="K381" t="str" cm="1">
        <f t="array" ref="K381">IF(F381=0," ",IF(ISBLANK(INDEX(Initial_Component_aggregator!H:H,MATCH(F381,Initial_Component_aggregator!B:B))),D381,INDEX(Initial_Component_aggregator!I:I,MATCH(J381,Initial_Component_aggregator!H:H))))</f>
        <v xml:space="preserve"> </v>
      </c>
      <c r="L381" t="str" cm="1">
        <f t="array" ref="L381">IF(F381=0," ",IF(ISBLANK(INDEX(Initial_Component_aggregator!H:H,MATCH(F381,Initial_Component_aggregator!B:B))),E381,INDEX(Initial_Component_aggregator!J:J,MATCH(J381,Initial_Component_aggregator!H:H))))</f>
        <v xml:space="preserve"> </v>
      </c>
      <c r="M381" t="str" cm="1">
        <f t="array" ref="M381">IF(F381=0," ",IF(ISBLANK(INDEX(Initial_Component_aggregator!H:H,MATCH(F381,Initial_Component_aggregator!B:B))),F381,INDEX(Initial_Component_aggregator!K:K,MATCH(J381,Initial_Component_aggregator!H:H))))</f>
        <v xml:space="preserve"> </v>
      </c>
    </row>
    <row r="382" spans="1:13" ht="36" customHeight="1">
      <c r="A382"/>
      <c r="B382"/>
      <c r="C382"/>
      <c r="D382"/>
      <c r="E382"/>
      <c r="F382"/>
      <c r="G382"/>
      <c r="H382" t="str">
        <f t="shared" si="5"/>
        <v xml:space="preserve"> </v>
      </c>
      <c r="I382" t="str" cm="1">
        <f t="array" ref="I382">IF(F382=0," ",IF(ISBLANK(INDEX(Initial_Component_aggregator!F:F,MATCH(F382,Initial_Component_aggregator!B:B,0))),"No change",INDEX(Initial_Component_aggregator!F:F,MATCH(F382,Initial_Component_aggregator!B:B,0))))</f>
        <v xml:space="preserve"> </v>
      </c>
      <c r="J382" t="str" cm="1">
        <f t="array" ref="J382">IF(F382=0," ",IF(ISBLANK(INDEX(Initial_Component_aggregator!H:H,MATCH(F382,Initial_Component_aggregator!B:B,0))),F382,INDEX(Initial_Component_aggregator!H:H,MATCH(F382,Initial_Component_aggregator!B:B,0))))</f>
        <v xml:space="preserve"> </v>
      </c>
      <c r="K382" t="str" cm="1">
        <f t="array" ref="K382">IF(F382=0," ",IF(ISBLANK(INDEX(Initial_Component_aggregator!H:H,MATCH(F382,Initial_Component_aggregator!B:B))),D382,INDEX(Initial_Component_aggregator!I:I,MATCH(J382,Initial_Component_aggregator!H:H))))</f>
        <v xml:space="preserve"> </v>
      </c>
      <c r="L382" t="str" cm="1">
        <f t="array" ref="L382">IF(F382=0," ",IF(ISBLANK(INDEX(Initial_Component_aggregator!H:H,MATCH(F382,Initial_Component_aggregator!B:B))),E382,INDEX(Initial_Component_aggregator!J:J,MATCH(J382,Initial_Component_aggregator!H:H))))</f>
        <v xml:space="preserve"> </v>
      </c>
      <c r="M382" t="str" cm="1">
        <f t="array" ref="M382">IF(F382=0," ",IF(ISBLANK(INDEX(Initial_Component_aggregator!H:H,MATCH(F382,Initial_Component_aggregator!B:B))),F382,INDEX(Initial_Component_aggregator!K:K,MATCH(J382,Initial_Component_aggregator!H:H))))</f>
        <v xml:space="preserve"> </v>
      </c>
    </row>
    <row r="383" spans="1:13" ht="36" customHeight="1">
      <c r="A383"/>
      <c r="B383"/>
      <c r="C383"/>
      <c r="D383"/>
      <c r="E383"/>
      <c r="F383"/>
      <c r="G383"/>
      <c r="H383" t="str">
        <f t="shared" si="5"/>
        <v xml:space="preserve"> </v>
      </c>
      <c r="I383" t="str" cm="1">
        <f t="array" ref="I383">IF(F383=0," ",IF(ISBLANK(INDEX(Initial_Component_aggregator!F:F,MATCH(F383,Initial_Component_aggregator!B:B,0))),"No change",INDEX(Initial_Component_aggregator!F:F,MATCH(F383,Initial_Component_aggregator!B:B,0))))</f>
        <v xml:space="preserve"> </v>
      </c>
      <c r="J383" t="str" cm="1">
        <f t="array" ref="J383">IF(F383=0," ",IF(ISBLANK(INDEX(Initial_Component_aggregator!H:H,MATCH(F383,Initial_Component_aggregator!B:B,0))),F383,INDEX(Initial_Component_aggregator!H:H,MATCH(F383,Initial_Component_aggregator!B:B,0))))</f>
        <v xml:space="preserve"> </v>
      </c>
      <c r="K383" t="str" cm="1">
        <f t="array" ref="K383">IF(F383=0," ",IF(ISBLANK(INDEX(Initial_Component_aggregator!H:H,MATCH(F383,Initial_Component_aggregator!B:B))),D383,INDEX(Initial_Component_aggregator!I:I,MATCH(J383,Initial_Component_aggregator!H:H))))</f>
        <v xml:space="preserve"> </v>
      </c>
      <c r="L383" t="str" cm="1">
        <f t="array" ref="L383">IF(F383=0," ",IF(ISBLANK(INDEX(Initial_Component_aggregator!H:H,MATCH(F383,Initial_Component_aggregator!B:B))),E383,INDEX(Initial_Component_aggregator!J:J,MATCH(J383,Initial_Component_aggregator!H:H))))</f>
        <v xml:space="preserve"> </v>
      </c>
      <c r="M383" t="str" cm="1">
        <f t="array" ref="M383">IF(F383=0," ",IF(ISBLANK(INDEX(Initial_Component_aggregator!H:H,MATCH(F383,Initial_Component_aggregator!B:B))),F383,INDEX(Initial_Component_aggregator!K:K,MATCH(J383,Initial_Component_aggregator!H:H))))</f>
        <v xml:space="preserve"> </v>
      </c>
    </row>
    <row r="384" spans="1:13" ht="36" customHeight="1">
      <c r="A384"/>
      <c r="B384"/>
      <c r="C384"/>
      <c r="D384"/>
      <c r="E384"/>
      <c r="F384"/>
      <c r="G384"/>
      <c r="H384" t="str">
        <f t="shared" si="5"/>
        <v xml:space="preserve"> </v>
      </c>
      <c r="I384" t="str" cm="1">
        <f t="array" ref="I384">IF(F384=0," ",IF(ISBLANK(INDEX(Initial_Component_aggregator!F:F,MATCH(F384,Initial_Component_aggregator!B:B,0))),"No change",INDEX(Initial_Component_aggregator!F:F,MATCH(F384,Initial_Component_aggregator!B:B,0))))</f>
        <v xml:space="preserve"> </v>
      </c>
      <c r="J384" t="str" cm="1">
        <f t="array" ref="J384">IF(F384=0," ",IF(ISBLANK(INDEX(Initial_Component_aggregator!H:H,MATCH(F384,Initial_Component_aggregator!B:B,0))),F384,INDEX(Initial_Component_aggregator!H:H,MATCH(F384,Initial_Component_aggregator!B:B,0))))</f>
        <v xml:space="preserve"> </v>
      </c>
      <c r="K384" t="str" cm="1">
        <f t="array" ref="K384">IF(F384=0," ",IF(ISBLANK(INDEX(Initial_Component_aggregator!H:H,MATCH(F384,Initial_Component_aggregator!B:B))),D384,INDEX(Initial_Component_aggregator!I:I,MATCH(J384,Initial_Component_aggregator!H:H))))</f>
        <v xml:space="preserve"> </v>
      </c>
      <c r="L384" t="str" cm="1">
        <f t="array" ref="L384">IF(F384=0," ",IF(ISBLANK(INDEX(Initial_Component_aggregator!H:H,MATCH(F384,Initial_Component_aggregator!B:B))),E384,INDEX(Initial_Component_aggregator!J:J,MATCH(J384,Initial_Component_aggregator!H:H))))</f>
        <v xml:space="preserve"> </v>
      </c>
      <c r="M384" t="str" cm="1">
        <f t="array" ref="M384">IF(F384=0," ",IF(ISBLANK(INDEX(Initial_Component_aggregator!H:H,MATCH(F384,Initial_Component_aggregator!B:B))),F384,INDEX(Initial_Component_aggregator!K:K,MATCH(J384,Initial_Component_aggregator!H:H))))</f>
        <v xml:space="preserve"> </v>
      </c>
    </row>
    <row r="385" spans="1:13" ht="36" customHeight="1">
      <c r="A385"/>
      <c r="B385"/>
      <c r="C385"/>
      <c r="D385"/>
      <c r="E385"/>
      <c r="F385"/>
      <c r="G385"/>
      <c r="H385" t="str">
        <f t="shared" si="5"/>
        <v xml:space="preserve"> </v>
      </c>
      <c r="I385" t="str" cm="1">
        <f t="array" ref="I385">IF(F385=0," ",IF(ISBLANK(INDEX(Initial_Component_aggregator!F:F,MATCH(F385,Initial_Component_aggregator!B:B,0))),"No change",INDEX(Initial_Component_aggregator!F:F,MATCH(F385,Initial_Component_aggregator!B:B,0))))</f>
        <v xml:space="preserve"> </v>
      </c>
      <c r="J385" t="str" cm="1">
        <f t="array" ref="J385">IF(F385=0," ",IF(ISBLANK(INDEX(Initial_Component_aggregator!H:H,MATCH(F385,Initial_Component_aggregator!B:B,0))),F385,INDEX(Initial_Component_aggregator!H:H,MATCH(F385,Initial_Component_aggregator!B:B,0))))</f>
        <v xml:space="preserve"> </v>
      </c>
      <c r="K385" t="str" cm="1">
        <f t="array" ref="K385">IF(F385=0," ",IF(ISBLANK(INDEX(Initial_Component_aggregator!H:H,MATCH(F385,Initial_Component_aggregator!B:B))),D385,INDEX(Initial_Component_aggregator!I:I,MATCH(J385,Initial_Component_aggregator!H:H))))</f>
        <v xml:space="preserve"> </v>
      </c>
      <c r="L385" t="str" cm="1">
        <f t="array" ref="L385">IF(F385=0," ",IF(ISBLANK(INDEX(Initial_Component_aggregator!H:H,MATCH(F385,Initial_Component_aggregator!B:B))),E385,INDEX(Initial_Component_aggregator!J:J,MATCH(J385,Initial_Component_aggregator!H:H))))</f>
        <v xml:space="preserve"> </v>
      </c>
      <c r="M385" t="str" cm="1">
        <f t="array" ref="M385">IF(F385=0," ",IF(ISBLANK(INDEX(Initial_Component_aggregator!H:H,MATCH(F385,Initial_Component_aggregator!B:B))),F385,INDEX(Initial_Component_aggregator!K:K,MATCH(J385,Initial_Component_aggregator!H:H))))</f>
        <v xml:space="preserve"> </v>
      </c>
    </row>
    <row r="386" spans="1:13" ht="36" customHeight="1">
      <c r="A386"/>
      <c r="B386"/>
      <c r="C386"/>
      <c r="D386"/>
      <c r="E386"/>
      <c r="F386"/>
      <c r="G386"/>
      <c r="H386" t="str">
        <f t="shared" si="5"/>
        <v xml:space="preserve"> </v>
      </c>
      <c r="I386" t="str" cm="1">
        <f t="array" ref="I386">IF(F386=0," ",IF(ISBLANK(INDEX(Initial_Component_aggregator!F:F,MATCH(F386,Initial_Component_aggregator!B:B,0))),"No change",INDEX(Initial_Component_aggregator!F:F,MATCH(F386,Initial_Component_aggregator!B:B,0))))</f>
        <v xml:space="preserve"> </v>
      </c>
      <c r="J386" t="str" cm="1">
        <f t="array" ref="J386">IF(F386=0," ",IF(ISBLANK(INDEX(Initial_Component_aggregator!H:H,MATCH(F386,Initial_Component_aggregator!B:B,0))),F386,INDEX(Initial_Component_aggregator!H:H,MATCH(F386,Initial_Component_aggregator!B:B,0))))</f>
        <v xml:space="preserve"> </v>
      </c>
      <c r="K386" t="str" cm="1">
        <f t="array" ref="K386">IF(F386=0," ",IF(ISBLANK(INDEX(Initial_Component_aggregator!H:H,MATCH(F386,Initial_Component_aggregator!B:B))),D386,INDEX(Initial_Component_aggregator!I:I,MATCH(J386,Initial_Component_aggregator!H:H))))</f>
        <v xml:space="preserve"> </v>
      </c>
      <c r="L386" t="str" cm="1">
        <f t="array" ref="L386">IF(F386=0," ",IF(ISBLANK(INDEX(Initial_Component_aggregator!H:H,MATCH(F386,Initial_Component_aggregator!B:B))),E386,INDEX(Initial_Component_aggregator!J:J,MATCH(J386,Initial_Component_aggregator!H:H))))</f>
        <v xml:space="preserve"> </v>
      </c>
      <c r="M386" t="str" cm="1">
        <f t="array" ref="M386">IF(F386=0," ",IF(ISBLANK(INDEX(Initial_Component_aggregator!H:H,MATCH(F386,Initial_Component_aggregator!B:B))),F386,INDEX(Initial_Component_aggregator!K:K,MATCH(J386,Initial_Component_aggregator!H:H))))</f>
        <v xml:space="preserve"> </v>
      </c>
    </row>
    <row r="387" spans="1:13" ht="36" customHeight="1">
      <c r="A387"/>
      <c r="B387"/>
      <c r="C387"/>
      <c r="D387"/>
      <c r="E387"/>
      <c r="F387"/>
      <c r="G387"/>
      <c r="H387" t="str">
        <f t="shared" ref="H387:H450" si="6">IF(F387=0," ",(AND(IF(J387=F387,0,1),F387&lt;&gt;0)))</f>
        <v xml:space="preserve"> </v>
      </c>
      <c r="I387" t="str" cm="1">
        <f t="array" ref="I387">IF(F387=0," ",IF(ISBLANK(INDEX(Initial_Component_aggregator!F:F,MATCH(F387,Initial_Component_aggregator!B:B,0))),"No change",INDEX(Initial_Component_aggregator!F:F,MATCH(F387,Initial_Component_aggregator!B:B,0))))</f>
        <v xml:space="preserve"> </v>
      </c>
      <c r="J387" t="str" cm="1">
        <f t="array" ref="J387">IF(F387=0," ",IF(ISBLANK(INDEX(Initial_Component_aggregator!H:H,MATCH(F387,Initial_Component_aggregator!B:B,0))),F387,INDEX(Initial_Component_aggregator!H:H,MATCH(F387,Initial_Component_aggregator!B:B,0))))</f>
        <v xml:space="preserve"> </v>
      </c>
      <c r="K387" t="str" cm="1">
        <f t="array" ref="K387">IF(F387=0," ",IF(ISBLANK(INDEX(Initial_Component_aggregator!H:H,MATCH(F387,Initial_Component_aggregator!B:B))),D387,INDEX(Initial_Component_aggregator!I:I,MATCH(J387,Initial_Component_aggregator!H:H))))</f>
        <v xml:space="preserve"> </v>
      </c>
      <c r="L387" t="str" cm="1">
        <f t="array" ref="L387">IF(F387=0," ",IF(ISBLANK(INDEX(Initial_Component_aggregator!H:H,MATCH(F387,Initial_Component_aggregator!B:B))),E387,INDEX(Initial_Component_aggregator!J:J,MATCH(J387,Initial_Component_aggregator!H:H))))</f>
        <v xml:space="preserve"> </v>
      </c>
      <c r="M387" t="str" cm="1">
        <f t="array" ref="M387">IF(F387=0," ",IF(ISBLANK(INDEX(Initial_Component_aggregator!H:H,MATCH(F387,Initial_Component_aggregator!B:B))),F387,INDEX(Initial_Component_aggregator!K:K,MATCH(J387,Initial_Component_aggregator!H:H))))</f>
        <v xml:space="preserve"> </v>
      </c>
    </row>
    <row r="388" spans="1:13" ht="36" customHeight="1">
      <c r="A388"/>
      <c r="B388"/>
      <c r="C388"/>
      <c r="D388"/>
      <c r="E388"/>
      <c r="F388"/>
      <c r="G388"/>
      <c r="H388" t="str">
        <f t="shared" si="6"/>
        <v xml:space="preserve"> </v>
      </c>
      <c r="I388" t="str" cm="1">
        <f t="array" ref="I388">IF(F388=0," ",IF(ISBLANK(INDEX(Initial_Component_aggregator!F:F,MATCH(F388,Initial_Component_aggregator!B:B,0))),"No change",INDEX(Initial_Component_aggregator!F:F,MATCH(F388,Initial_Component_aggregator!B:B,0))))</f>
        <v xml:space="preserve"> </v>
      </c>
      <c r="J388" t="str" cm="1">
        <f t="array" ref="J388">IF(F388=0," ",IF(ISBLANK(INDEX(Initial_Component_aggregator!H:H,MATCH(F388,Initial_Component_aggregator!B:B,0))),F388,INDEX(Initial_Component_aggregator!H:H,MATCH(F388,Initial_Component_aggregator!B:B,0))))</f>
        <v xml:space="preserve"> </v>
      </c>
      <c r="K388" t="str" cm="1">
        <f t="array" ref="K388">IF(F388=0," ",IF(ISBLANK(INDEX(Initial_Component_aggregator!H:H,MATCH(F388,Initial_Component_aggregator!B:B))),D388,INDEX(Initial_Component_aggregator!I:I,MATCH(J388,Initial_Component_aggregator!H:H))))</f>
        <v xml:space="preserve"> </v>
      </c>
      <c r="L388" t="str" cm="1">
        <f t="array" ref="L388">IF(F388=0," ",IF(ISBLANK(INDEX(Initial_Component_aggregator!H:H,MATCH(F388,Initial_Component_aggregator!B:B))),E388,INDEX(Initial_Component_aggregator!J:J,MATCH(J388,Initial_Component_aggregator!H:H))))</f>
        <v xml:space="preserve"> </v>
      </c>
      <c r="M388" t="str" cm="1">
        <f t="array" ref="M388">IF(F388=0," ",IF(ISBLANK(INDEX(Initial_Component_aggregator!H:H,MATCH(F388,Initial_Component_aggregator!B:B))),F388,INDEX(Initial_Component_aggregator!K:K,MATCH(J388,Initial_Component_aggregator!H:H))))</f>
        <v xml:space="preserve"> </v>
      </c>
    </row>
    <row r="389" spans="1:13" ht="36" customHeight="1">
      <c r="A389"/>
      <c r="B389"/>
      <c r="C389"/>
      <c r="D389"/>
      <c r="E389"/>
      <c r="F389"/>
      <c r="G389"/>
      <c r="H389" t="str">
        <f t="shared" si="6"/>
        <v xml:space="preserve"> </v>
      </c>
      <c r="I389" t="str" cm="1">
        <f t="array" ref="I389">IF(F389=0," ",IF(ISBLANK(INDEX(Initial_Component_aggregator!F:F,MATCH(F389,Initial_Component_aggregator!B:B,0))),"No change",INDEX(Initial_Component_aggregator!F:F,MATCH(F389,Initial_Component_aggregator!B:B,0))))</f>
        <v xml:space="preserve"> </v>
      </c>
      <c r="J389" t="str" cm="1">
        <f t="array" ref="J389">IF(F389=0," ",IF(ISBLANK(INDEX(Initial_Component_aggregator!H:H,MATCH(F389,Initial_Component_aggregator!B:B,0))),F389,INDEX(Initial_Component_aggregator!H:H,MATCH(F389,Initial_Component_aggregator!B:B,0))))</f>
        <v xml:space="preserve"> </v>
      </c>
      <c r="K389" t="str" cm="1">
        <f t="array" ref="K389">IF(F389=0," ",IF(ISBLANK(INDEX(Initial_Component_aggregator!H:H,MATCH(F389,Initial_Component_aggregator!B:B))),D389,INDEX(Initial_Component_aggregator!I:I,MATCH(J389,Initial_Component_aggregator!H:H))))</f>
        <v xml:space="preserve"> </v>
      </c>
      <c r="L389" t="str" cm="1">
        <f t="array" ref="L389">IF(F389=0," ",IF(ISBLANK(INDEX(Initial_Component_aggregator!H:H,MATCH(F389,Initial_Component_aggregator!B:B))),E389,INDEX(Initial_Component_aggregator!J:J,MATCH(J389,Initial_Component_aggregator!H:H))))</f>
        <v xml:space="preserve"> </v>
      </c>
      <c r="M389" t="str" cm="1">
        <f t="array" ref="M389">IF(F389=0," ",IF(ISBLANK(INDEX(Initial_Component_aggregator!H:H,MATCH(F389,Initial_Component_aggregator!B:B))),F389,INDEX(Initial_Component_aggregator!K:K,MATCH(J389,Initial_Component_aggregator!H:H))))</f>
        <v xml:space="preserve"> </v>
      </c>
    </row>
    <row r="390" spans="1:13" ht="36" customHeight="1">
      <c r="A390"/>
      <c r="B390"/>
      <c r="C390"/>
      <c r="D390"/>
      <c r="E390"/>
      <c r="F390"/>
      <c r="G390"/>
      <c r="H390" t="str">
        <f t="shared" si="6"/>
        <v xml:space="preserve"> </v>
      </c>
      <c r="I390" t="str" cm="1">
        <f t="array" ref="I390">IF(F390=0," ",IF(ISBLANK(INDEX(Initial_Component_aggregator!F:F,MATCH(F390,Initial_Component_aggregator!B:B,0))),"No change",INDEX(Initial_Component_aggregator!F:F,MATCH(F390,Initial_Component_aggregator!B:B,0))))</f>
        <v xml:space="preserve"> </v>
      </c>
      <c r="J390" t="str" cm="1">
        <f t="array" ref="J390">IF(F390=0," ",IF(ISBLANK(INDEX(Initial_Component_aggregator!H:H,MATCH(F390,Initial_Component_aggregator!B:B,0))),F390,INDEX(Initial_Component_aggregator!H:H,MATCH(F390,Initial_Component_aggregator!B:B,0))))</f>
        <v xml:space="preserve"> </v>
      </c>
      <c r="K390" t="str" cm="1">
        <f t="array" ref="K390">IF(F390=0," ",IF(ISBLANK(INDEX(Initial_Component_aggregator!H:H,MATCH(F390,Initial_Component_aggregator!B:B))),D390,INDEX(Initial_Component_aggregator!I:I,MATCH(J390,Initial_Component_aggregator!H:H))))</f>
        <v xml:space="preserve"> </v>
      </c>
      <c r="L390" t="str" cm="1">
        <f t="array" ref="L390">IF(F390=0," ",IF(ISBLANK(INDEX(Initial_Component_aggregator!H:H,MATCH(F390,Initial_Component_aggregator!B:B))),E390,INDEX(Initial_Component_aggregator!J:J,MATCH(J390,Initial_Component_aggregator!H:H))))</f>
        <v xml:space="preserve"> </v>
      </c>
      <c r="M390" t="str" cm="1">
        <f t="array" ref="M390">IF(F390=0," ",IF(ISBLANK(INDEX(Initial_Component_aggregator!H:H,MATCH(F390,Initial_Component_aggregator!B:B))),F390,INDEX(Initial_Component_aggregator!K:K,MATCH(J390,Initial_Component_aggregator!H:H))))</f>
        <v xml:space="preserve"> </v>
      </c>
    </row>
    <row r="391" spans="1:13" ht="36" customHeight="1">
      <c r="A391"/>
      <c r="B391"/>
      <c r="C391"/>
      <c r="D391"/>
      <c r="E391"/>
      <c r="F391"/>
      <c r="G391"/>
      <c r="H391" t="str">
        <f t="shared" si="6"/>
        <v xml:space="preserve"> </v>
      </c>
      <c r="I391" t="str" cm="1">
        <f t="array" ref="I391">IF(F391=0," ",IF(ISBLANK(INDEX(Initial_Component_aggregator!F:F,MATCH(F391,Initial_Component_aggregator!B:B,0))),"No change",INDEX(Initial_Component_aggregator!F:F,MATCH(F391,Initial_Component_aggregator!B:B,0))))</f>
        <v xml:space="preserve"> </v>
      </c>
      <c r="J391" t="str" cm="1">
        <f t="array" ref="J391">IF(F391=0," ",IF(ISBLANK(INDEX(Initial_Component_aggregator!H:H,MATCH(F391,Initial_Component_aggregator!B:B,0))),F391,INDEX(Initial_Component_aggregator!H:H,MATCH(F391,Initial_Component_aggregator!B:B,0))))</f>
        <v xml:space="preserve"> </v>
      </c>
      <c r="K391" t="str" cm="1">
        <f t="array" ref="K391">IF(F391=0," ",IF(ISBLANK(INDEX(Initial_Component_aggregator!H:H,MATCH(F391,Initial_Component_aggregator!B:B))),D391,INDEX(Initial_Component_aggregator!I:I,MATCH(J391,Initial_Component_aggregator!H:H))))</f>
        <v xml:space="preserve"> </v>
      </c>
      <c r="L391" t="str" cm="1">
        <f t="array" ref="L391">IF(F391=0," ",IF(ISBLANK(INDEX(Initial_Component_aggregator!H:H,MATCH(F391,Initial_Component_aggregator!B:B))),E391,INDEX(Initial_Component_aggregator!J:J,MATCH(J391,Initial_Component_aggregator!H:H))))</f>
        <v xml:space="preserve"> </v>
      </c>
      <c r="M391" t="str" cm="1">
        <f t="array" ref="M391">IF(F391=0," ",IF(ISBLANK(INDEX(Initial_Component_aggregator!H:H,MATCH(F391,Initial_Component_aggregator!B:B))),F391,INDEX(Initial_Component_aggregator!K:K,MATCH(J391,Initial_Component_aggregator!H:H))))</f>
        <v xml:space="preserve"> </v>
      </c>
    </row>
    <row r="392" spans="1:13" ht="36" customHeight="1">
      <c r="A392"/>
      <c r="B392"/>
      <c r="C392"/>
      <c r="D392"/>
      <c r="E392"/>
      <c r="F392"/>
      <c r="G392"/>
      <c r="H392" t="str">
        <f t="shared" si="6"/>
        <v xml:space="preserve"> </v>
      </c>
      <c r="I392" t="str" cm="1">
        <f t="array" ref="I392">IF(F392=0," ",IF(ISBLANK(INDEX(Initial_Component_aggregator!F:F,MATCH(F392,Initial_Component_aggregator!B:B,0))),"No change",INDEX(Initial_Component_aggregator!F:F,MATCH(F392,Initial_Component_aggregator!B:B,0))))</f>
        <v xml:space="preserve"> </v>
      </c>
      <c r="J392" t="str" cm="1">
        <f t="array" ref="J392">IF(F392=0," ",IF(ISBLANK(INDEX(Initial_Component_aggregator!H:H,MATCH(F392,Initial_Component_aggregator!B:B,0))),F392,INDEX(Initial_Component_aggregator!H:H,MATCH(F392,Initial_Component_aggregator!B:B,0))))</f>
        <v xml:space="preserve"> </v>
      </c>
      <c r="K392" t="str" cm="1">
        <f t="array" ref="K392">IF(F392=0," ",IF(ISBLANK(INDEX(Initial_Component_aggregator!H:H,MATCH(F392,Initial_Component_aggregator!B:B))),D392,INDEX(Initial_Component_aggregator!I:I,MATCH(J392,Initial_Component_aggregator!H:H))))</f>
        <v xml:space="preserve"> </v>
      </c>
      <c r="L392" t="str" cm="1">
        <f t="array" ref="L392">IF(F392=0," ",IF(ISBLANK(INDEX(Initial_Component_aggregator!H:H,MATCH(F392,Initial_Component_aggregator!B:B))),E392,INDEX(Initial_Component_aggregator!J:J,MATCH(J392,Initial_Component_aggregator!H:H))))</f>
        <v xml:space="preserve"> </v>
      </c>
      <c r="M392" t="str" cm="1">
        <f t="array" ref="M392">IF(F392=0," ",IF(ISBLANK(INDEX(Initial_Component_aggregator!H:H,MATCH(F392,Initial_Component_aggregator!B:B))),F392,INDEX(Initial_Component_aggregator!K:K,MATCH(J392,Initial_Component_aggregator!H:H))))</f>
        <v xml:space="preserve"> </v>
      </c>
    </row>
    <row r="393" spans="1:13" ht="36" customHeight="1">
      <c r="A393"/>
      <c r="B393"/>
      <c r="C393"/>
      <c r="D393"/>
      <c r="E393"/>
      <c r="F393"/>
      <c r="G393"/>
      <c r="H393" t="str">
        <f t="shared" si="6"/>
        <v xml:space="preserve"> </v>
      </c>
      <c r="I393" t="str" cm="1">
        <f t="array" ref="I393">IF(F393=0," ",IF(ISBLANK(INDEX(Initial_Component_aggregator!F:F,MATCH(F393,Initial_Component_aggregator!B:B,0))),"No change",INDEX(Initial_Component_aggregator!F:F,MATCH(F393,Initial_Component_aggregator!B:B,0))))</f>
        <v xml:space="preserve"> </v>
      </c>
      <c r="J393" t="str" cm="1">
        <f t="array" ref="J393">IF(F393=0," ",IF(ISBLANK(INDEX(Initial_Component_aggregator!H:H,MATCH(F393,Initial_Component_aggregator!B:B,0))),F393,INDEX(Initial_Component_aggregator!H:H,MATCH(F393,Initial_Component_aggregator!B:B,0))))</f>
        <v xml:space="preserve"> </v>
      </c>
      <c r="K393" t="str" cm="1">
        <f t="array" ref="K393">IF(F393=0," ",IF(ISBLANK(INDEX(Initial_Component_aggregator!H:H,MATCH(F393,Initial_Component_aggregator!B:B))),D393,INDEX(Initial_Component_aggregator!I:I,MATCH(J393,Initial_Component_aggregator!H:H))))</f>
        <v xml:space="preserve"> </v>
      </c>
      <c r="L393" t="str" cm="1">
        <f t="array" ref="L393">IF(F393=0," ",IF(ISBLANK(INDEX(Initial_Component_aggregator!H:H,MATCH(F393,Initial_Component_aggregator!B:B))),E393,INDEX(Initial_Component_aggregator!J:J,MATCH(J393,Initial_Component_aggregator!H:H))))</f>
        <v xml:space="preserve"> </v>
      </c>
      <c r="M393" t="str" cm="1">
        <f t="array" ref="M393">IF(F393=0," ",IF(ISBLANK(INDEX(Initial_Component_aggregator!H:H,MATCH(F393,Initial_Component_aggregator!B:B))),F393,INDEX(Initial_Component_aggregator!K:K,MATCH(J393,Initial_Component_aggregator!H:H))))</f>
        <v xml:space="preserve"> </v>
      </c>
    </row>
    <row r="394" spans="1:13" ht="36" customHeight="1">
      <c r="A394"/>
      <c r="B394"/>
      <c r="C394"/>
      <c r="D394"/>
      <c r="E394"/>
      <c r="F394"/>
      <c r="G394"/>
      <c r="H394" t="str">
        <f t="shared" si="6"/>
        <v xml:space="preserve"> </v>
      </c>
      <c r="I394" t="str" cm="1">
        <f t="array" ref="I394">IF(F394=0," ",IF(ISBLANK(INDEX(Initial_Component_aggregator!F:F,MATCH(F394,Initial_Component_aggregator!B:B,0))),"No change",INDEX(Initial_Component_aggregator!F:F,MATCH(F394,Initial_Component_aggregator!B:B,0))))</f>
        <v xml:space="preserve"> </v>
      </c>
      <c r="J394" t="str" cm="1">
        <f t="array" ref="J394">IF(F394=0," ",IF(ISBLANK(INDEX(Initial_Component_aggregator!H:H,MATCH(F394,Initial_Component_aggregator!B:B,0))),F394,INDEX(Initial_Component_aggregator!H:H,MATCH(F394,Initial_Component_aggregator!B:B,0))))</f>
        <v xml:space="preserve"> </v>
      </c>
      <c r="K394" t="str" cm="1">
        <f t="array" ref="K394">IF(F394=0," ",IF(ISBLANK(INDEX(Initial_Component_aggregator!H:H,MATCH(F394,Initial_Component_aggregator!B:B))),D394,INDEX(Initial_Component_aggregator!I:I,MATCH(J394,Initial_Component_aggregator!H:H))))</f>
        <v xml:space="preserve"> </v>
      </c>
      <c r="L394" t="str" cm="1">
        <f t="array" ref="L394">IF(F394=0," ",IF(ISBLANK(INDEX(Initial_Component_aggregator!H:H,MATCH(F394,Initial_Component_aggregator!B:B))),E394,INDEX(Initial_Component_aggregator!J:J,MATCH(J394,Initial_Component_aggregator!H:H))))</f>
        <v xml:space="preserve"> </v>
      </c>
      <c r="M394" t="str" cm="1">
        <f t="array" ref="M394">IF(F394=0," ",IF(ISBLANK(INDEX(Initial_Component_aggregator!H:H,MATCH(F394,Initial_Component_aggregator!B:B))),F394,INDEX(Initial_Component_aggregator!K:K,MATCH(J394,Initial_Component_aggregator!H:H))))</f>
        <v xml:space="preserve"> </v>
      </c>
    </row>
    <row r="395" spans="1:13" ht="36" customHeight="1">
      <c r="A395"/>
      <c r="B395"/>
      <c r="C395"/>
      <c r="D395"/>
      <c r="E395"/>
      <c r="F395"/>
      <c r="G395"/>
      <c r="H395" t="str">
        <f t="shared" si="6"/>
        <v xml:space="preserve"> </v>
      </c>
      <c r="I395" t="str" cm="1">
        <f t="array" ref="I395">IF(F395=0," ",IF(ISBLANK(INDEX(Initial_Component_aggregator!F:F,MATCH(F395,Initial_Component_aggregator!B:B,0))),"No change",INDEX(Initial_Component_aggregator!F:F,MATCH(F395,Initial_Component_aggregator!B:B,0))))</f>
        <v xml:space="preserve"> </v>
      </c>
      <c r="J395" t="str" cm="1">
        <f t="array" ref="J395">IF(F395=0," ",IF(ISBLANK(INDEX(Initial_Component_aggregator!H:H,MATCH(F395,Initial_Component_aggregator!B:B,0))),F395,INDEX(Initial_Component_aggregator!H:H,MATCH(F395,Initial_Component_aggregator!B:B,0))))</f>
        <v xml:space="preserve"> </v>
      </c>
      <c r="K395" t="str" cm="1">
        <f t="array" ref="K395">IF(F395=0," ",IF(ISBLANK(INDEX(Initial_Component_aggregator!H:H,MATCH(F395,Initial_Component_aggregator!B:B))),D395,INDEX(Initial_Component_aggregator!I:I,MATCH(J395,Initial_Component_aggregator!H:H))))</f>
        <v xml:space="preserve"> </v>
      </c>
      <c r="L395" t="str" cm="1">
        <f t="array" ref="L395">IF(F395=0," ",IF(ISBLANK(INDEX(Initial_Component_aggregator!H:H,MATCH(F395,Initial_Component_aggregator!B:B))),E395,INDEX(Initial_Component_aggregator!J:J,MATCH(J395,Initial_Component_aggregator!H:H))))</f>
        <v xml:space="preserve"> </v>
      </c>
      <c r="M395" t="str" cm="1">
        <f t="array" ref="M395">IF(F395=0," ",IF(ISBLANK(INDEX(Initial_Component_aggregator!H:H,MATCH(F395,Initial_Component_aggregator!B:B))),F395,INDEX(Initial_Component_aggregator!K:K,MATCH(J395,Initial_Component_aggregator!H:H))))</f>
        <v xml:space="preserve"> </v>
      </c>
    </row>
    <row r="396" spans="1:13" ht="36" customHeight="1">
      <c r="A396"/>
      <c r="B396"/>
      <c r="C396"/>
      <c r="D396"/>
      <c r="E396"/>
      <c r="F396"/>
      <c r="G396"/>
      <c r="H396" t="str">
        <f t="shared" si="6"/>
        <v xml:space="preserve"> </v>
      </c>
      <c r="I396" t="str" cm="1">
        <f t="array" ref="I396">IF(F396=0," ",IF(ISBLANK(INDEX(Initial_Component_aggregator!F:F,MATCH(F396,Initial_Component_aggregator!B:B,0))),"No change",INDEX(Initial_Component_aggregator!F:F,MATCH(F396,Initial_Component_aggregator!B:B,0))))</f>
        <v xml:space="preserve"> </v>
      </c>
      <c r="J396" t="str" cm="1">
        <f t="array" ref="J396">IF(F396=0," ",IF(ISBLANK(INDEX(Initial_Component_aggregator!H:H,MATCH(F396,Initial_Component_aggregator!B:B,0))),F396,INDEX(Initial_Component_aggregator!H:H,MATCH(F396,Initial_Component_aggregator!B:B,0))))</f>
        <v xml:space="preserve"> </v>
      </c>
      <c r="K396" t="str" cm="1">
        <f t="array" ref="K396">IF(F396=0," ",IF(ISBLANK(INDEX(Initial_Component_aggregator!H:H,MATCH(F396,Initial_Component_aggregator!B:B))),D396,INDEX(Initial_Component_aggregator!I:I,MATCH(J396,Initial_Component_aggregator!H:H))))</f>
        <v xml:space="preserve"> </v>
      </c>
      <c r="L396" t="str" cm="1">
        <f t="array" ref="L396">IF(F396=0," ",IF(ISBLANK(INDEX(Initial_Component_aggregator!H:H,MATCH(F396,Initial_Component_aggregator!B:B))),E396,INDEX(Initial_Component_aggregator!J:J,MATCH(J396,Initial_Component_aggregator!H:H))))</f>
        <v xml:space="preserve"> </v>
      </c>
      <c r="M396" t="str" cm="1">
        <f t="array" ref="M396">IF(F396=0," ",IF(ISBLANK(INDEX(Initial_Component_aggregator!H:H,MATCH(F396,Initial_Component_aggregator!B:B))),F396,INDEX(Initial_Component_aggregator!K:K,MATCH(J396,Initial_Component_aggregator!H:H))))</f>
        <v xml:space="preserve"> </v>
      </c>
    </row>
    <row r="397" spans="1:13" ht="36" customHeight="1">
      <c r="A397"/>
      <c r="B397"/>
      <c r="C397"/>
      <c r="D397"/>
      <c r="E397"/>
      <c r="F397"/>
      <c r="G397"/>
      <c r="H397" t="str">
        <f t="shared" si="6"/>
        <v xml:space="preserve"> </v>
      </c>
      <c r="I397" t="str" cm="1">
        <f t="array" ref="I397">IF(F397=0," ",IF(ISBLANK(INDEX(Initial_Component_aggregator!F:F,MATCH(F397,Initial_Component_aggregator!B:B,0))),"No change",INDEX(Initial_Component_aggregator!F:F,MATCH(F397,Initial_Component_aggregator!B:B,0))))</f>
        <v xml:space="preserve"> </v>
      </c>
      <c r="J397" t="str" cm="1">
        <f t="array" ref="J397">IF(F397=0," ",IF(ISBLANK(INDEX(Initial_Component_aggregator!H:H,MATCH(F397,Initial_Component_aggregator!B:B,0))),F397,INDEX(Initial_Component_aggregator!H:H,MATCH(F397,Initial_Component_aggregator!B:B,0))))</f>
        <v xml:space="preserve"> </v>
      </c>
      <c r="K397" t="str" cm="1">
        <f t="array" ref="K397">IF(F397=0," ",IF(ISBLANK(INDEX(Initial_Component_aggregator!H:H,MATCH(F397,Initial_Component_aggregator!B:B))),D397,INDEX(Initial_Component_aggregator!I:I,MATCH(J397,Initial_Component_aggregator!H:H))))</f>
        <v xml:space="preserve"> </v>
      </c>
      <c r="L397" t="str" cm="1">
        <f t="array" ref="L397">IF(F397=0," ",IF(ISBLANK(INDEX(Initial_Component_aggregator!H:H,MATCH(F397,Initial_Component_aggregator!B:B))),E397,INDEX(Initial_Component_aggregator!J:J,MATCH(J397,Initial_Component_aggregator!H:H))))</f>
        <v xml:space="preserve"> </v>
      </c>
      <c r="M397" t="str" cm="1">
        <f t="array" ref="M397">IF(F397=0," ",IF(ISBLANK(INDEX(Initial_Component_aggregator!H:H,MATCH(F397,Initial_Component_aggregator!B:B))),F397,INDEX(Initial_Component_aggregator!K:K,MATCH(J397,Initial_Component_aggregator!H:H))))</f>
        <v xml:space="preserve"> </v>
      </c>
    </row>
    <row r="398" spans="1:13" ht="36" customHeight="1">
      <c r="A398"/>
      <c r="B398"/>
      <c r="C398"/>
      <c r="D398"/>
      <c r="E398"/>
      <c r="F398"/>
      <c r="G398"/>
      <c r="H398" t="str">
        <f t="shared" si="6"/>
        <v xml:space="preserve"> </v>
      </c>
      <c r="I398" t="str" cm="1">
        <f t="array" ref="I398">IF(F398=0," ",IF(ISBLANK(INDEX(Initial_Component_aggregator!F:F,MATCH(F398,Initial_Component_aggregator!B:B,0))),"No change",INDEX(Initial_Component_aggregator!F:F,MATCH(F398,Initial_Component_aggregator!B:B,0))))</f>
        <v xml:space="preserve"> </v>
      </c>
      <c r="J398" t="str" cm="1">
        <f t="array" ref="J398">IF(F398=0," ",IF(ISBLANK(INDEX(Initial_Component_aggregator!H:H,MATCH(F398,Initial_Component_aggregator!B:B,0))),F398,INDEX(Initial_Component_aggregator!H:H,MATCH(F398,Initial_Component_aggregator!B:B,0))))</f>
        <v xml:space="preserve"> </v>
      </c>
      <c r="K398" t="str" cm="1">
        <f t="array" ref="K398">IF(F398=0," ",IF(ISBLANK(INDEX(Initial_Component_aggregator!H:H,MATCH(F398,Initial_Component_aggregator!B:B))),D398,INDEX(Initial_Component_aggregator!I:I,MATCH(J398,Initial_Component_aggregator!H:H))))</f>
        <v xml:space="preserve"> </v>
      </c>
      <c r="L398" t="str" cm="1">
        <f t="array" ref="L398">IF(F398=0," ",IF(ISBLANK(INDEX(Initial_Component_aggregator!H:H,MATCH(F398,Initial_Component_aggregator!B:B))),E398,INDEX(Initial_Component_aggregator!J:J,MATCH(J398,Initial_Component_aggregator!H:H))))</f>
        <v xml:space="preserve"> </v>
      </c>
      <c r="M398" t="str" cm="1">
        <f t="array" ref="M398">IF(F398=0," ",IF(ISBLANK(INDEX(Initial_Component_aggregator!H:H,MATCH(F398,Initial_Component_aggregator!B:B))),F398,INDEX(Initial_Component_aggregator!K:K,MATCH(J398,Initial_Component_aggregator!H:H))))</f>
        <v xml:space="preserve"> </v>
      </c>
    </row>
    <row r="399" spans="1:13" ht="36" customHeight="1">
      <c r="A399"/>
      <c r="B399"/>
      <c r="C399"/>
      <c r="D399"/>
      <c r="E399"/>
      <c r="F399"/>
      <c r="G399"/>
      <c r="H399" t="str">
        <f t="shared" si="6"/>
        <v xml:space="preserve"> </v>
      </c>
      <c r="I399" t="str" cm="1">
        <f t="array" ref="I399">IF(F399=0," ",IF(ISBLANK(INDEX(Initial_Component_aggregator!F:F,MATCH(F399,Initial_Component_aggregator!B:B,0))),"No change",INDEX(Initial_Component_aggregator!F:F,MATCH(F399,Initial_Component_aggregator!B:B,0))))</f>
        <v xml:space="preserve"> </v>
      </c>
      <c r="J399" t="str" cm="1">
        <f t="array" ref="J399">IF(F399=0," ",IF(ISBLANK(INDEX(Initial_Component_aggregator!H:H,MATCH(F399,Initial_Component_aggregator!B:B,0))),F399,INDEX(Initial_Component_aggregator!H:H,MATCH(F399,Initial_Component_aggregator!B:B,0))))</f>
        <v xml:space="preserve"> </v>
      </c>
      <c r="K399" t="str" cm="1">
        <f t="array" ref="K399">IF(F399=0," ",IF(ISBLANK(INDEX(Initial_Component_aggregator!H:H,MATCH(F399,Initial_Component_aggregator!B:B))),D399,INDEX(Initial_Component_aggregator!I:I,MATCH(J399,Initial_Component_aggregator!H:H))))</f>
        <v xml:space="preserve"> </v>
      </c>
      <c r="L399" t="str" cm="1">
        <f t="array" ref="L399">IF(F399=0," ",IF(ISBLANK(INDEX(Initial_Component_aggregator!H:H,MATCH(F399,Initial_Component_aggregator!B:B))),E399,INDEX(Initial_Component_aggregator!J:J,MATCH(J399,Initial_Component_aggregator!H:H))))</f>
        <v xml:space="preserve"> </v>
      </c>
      <c r="M399" t="str" cm="1">
        <f t="array" ref="M399">IF(F399=0," ",IF(ISBLANK(INDEX(Initial_Component_aggregator!H:H,MATCH(F399,Initial_Component_aggregator!B:B))),F399,INDEX(Initial_Component_aggregator!K:K,MATCH(J399,Initial_Component_aggregator!H:H))))</f>
        <v xml:space="preserve"> </v>
      </c>
    </row>
    <row r="400" spans="1:13" ht="36" customHeight="1">
      <c r="A400"/>
      <c r="B400"/>
      <c r="C400"/>
      <c r="D400"/>
      <c r="E400"/>
      <c r="F400"/>
      <c r="G400"/>
      <c r="H400" t="str">
        <f t="shared" si="6"/>
        <v xml:space="preserve"> </v>
      </c>
      <c r="I400" t="str" cm="1">
        <f t="array" ref="I400">IF(F400=0," ",IF(ISBLANK(INDEX(Initial_Component_aggregator!F:F,MATCH(F400,Initial_Component_aggregator!B:B,0))),"No change",INDEX(Initial_Component_aggregator!F:F,MATCH(F400,Initial_Component_aggregator!B:B,0))))</f>
        <v xml:space="preserve"> </v>
      </c>
      <c r="J400" t="str" cm="1">
        <f t="array" ref="J400">IF(F400=0," ",IF(ISBLANK(INDEX(Initial_Component_aggregator!H:H,MATCH(F400,Initial_Component_aggregator!B:B,0))),F400,INDEX(Initial_Component_aggregator!H:H,MATCH(F400,Initial_Component_aggregator!B:B,0))))</f>
        <v xml:space="preserve"> </v>
      </c>
      <c r="K400" t="str" cm="1">
        <f t="array" ref="K400">IF(F400=0," ",IF(ISBLANK(INDEX(Initial_Component_aggregator!H:H,MATCH(F400,Initial_Component_aggregator!B:B))),D400,INDEX(Initial_Component_aggregator!I:I,MATCH(J400,Initial_Component_aggregator!H:H))))</f>
        <v xml:space="preserve"> </v>
      </c>
      <c r="L400" t="str" cm="1">
        <f t="array" ref="L400">IF(F400=0," ",IF(ISBLANK(INDEX(Initial_Component_aggregator!H:H,MATCH(F400,Initial_Component_aggregator!B:B))),E400,INDEX(Initial_Component_aggregator!J:J,MATCH(J400,Initial_Component_aggregator!H:H))))</f>
        <v xml:space="preserve"> </v>
      </c>
      <c r="M400" t="str" cm="1">
        <f t="array" ref="M400">IF(F400=0," ",IF(ISBLANK(INDEX(Initial_Component_aggregator!H:H,MATCH(F400,Initial_Component_aggregator!B:B))),F400,INDEX(Initial_Component_aggregator!K:K,MATCH(J400,Initial_Component_aggregator!H:H))))</f>
        <v xml:space="preserve"> </v>
      </c>
    </row>
    <row r="401" spans="1:13" ht="36" customHeight="1">
      <c r="A401"/>
      <c r="B401"/>
      <c r="C401"/>
      <c r="D401"/>
      <c r="E401"/>
      <c r="F401"/>
      <c r="G401"/>
      <c r="H401" t="str">
        <f t="shared" si="6"/>
        <v xml:space="preserve"> </v>
      </c>
      <c r="I401" t="str" cm="1">
        <f t="array" ref="I401">IF(F401=0," ",IF(ISBLANK(INDEX(Initial_Component_aggregator!F:F,MATCH(F401,Initial_Component_aggregator!B:B,0))),"No change",INDEX(Initial_Component_aggregator!F:F,MATCH(F401,Initial_Component_aggregator!B:B,0))))</f>
        <v xml:space="preserve"> </v>
      </c>
      <c r="J401" t="str" cm="1">
        <f t="array" ref="J401">IF(F401=0," ",IF(ISBLANK(INDEX(Initial_Component_aggregator!H:H,MATCH(F401,Initial_Component_aggregator!B:B,0))),F401,INDEX(Initial_Component_aggregator!H:H,MATCH(F401,Initial_Component_aggregator!B:B,0))))</f>
        <v xml:space="preserve"> </v>
      </c>
      <c r="K401" t="str" cm="1">
        <f t="array" ref="K401">IF(F401=0," ",IF(ISBLANK(INDEX(Initial_Component_aggregator!H:H,MATCH(F401,Initial_Component_aggregator!B:B))),D401,INDEX(Initial_Component_aggregator!I:I,MATCH(J401,Initial_Component_aggregator!H:H))))</f>
        <v xml:space="preserve"> </v>
      </c>
      <c r="L401" t="str" cm="1">
        <f t="array" ref="L401">IF(F401=0," ",IF(ISBLANK(INDEX(Initial_Component_aggregator!H:H,MATCH(F401,Initial_Component_aggregator!B:B))),E401,INDEX(Initial_Component_aggregator!J:J,MATCH(J401,Initial_Component_aggregator!H:H))))</f>
        <v xml:space="preserve"> </v>
      </c>
      <c r="M401" t="str" cm="1">
        <f t="array" ref="M401">IF(F401=0," ",IF(ISBLANK(INDEX(Initial_Component_aggregator!H:H,MATCH(F401,Initial_Component_aggregator!B:B))),F401,INDEX(Initial_Component_aggregator!K:K,MATCH(J401,Initial_Component_aggregator!H:H))))</f>
        <v xml:space="preserve"> </v>
      </c>
    </row>
    <row r="402" spans="1:13" ht="36" customHeight="1">
      <c r="A402"/>
      <c r="B402"/>
      <c r="C402"/>
      <c r="D402"/>
      <c r="E402"/>
      <c r="F402"/>
      <c r="G402"/>
      <c r="H402" t="str">
        <f t="shared" si="6"/>
        <v xml:space="preserve"> </v>
      </c>
      <c r="I402" t="str" cm="1">
        <f t="array" ref="I402">IF(F402=0," ",IF(ISBLANK(INDEX(Initial_Component_aggregator!F:F,MATCH(F402,Initial_Component_aggregator!B:B,0))),"No change",INDEX(Initial_Component_aggregator!F:F,MATCH(F402,Initial_Component_aggregator!B:B,0))))</f>
        <v xml:space="preserve"> </v>
      </c>
      <c r="J402" t="str" cm="1">
        <f t="array" ref="J402">IF(F402=0," ",IF(ISBLANK(INDEX(Initial_Component_aggregator!H:H,MATCH(F402,Initial_Component_aggregator!B:B,0))),F402,INDEX(Initial_Component_aggregator!H:H,MATCH(F402,Initial_Component_aggregator!B:B,0))))</f>
        <v xml:space="preserve"> </v>
      </c>
      <c r="K402" t="str" cm="1">
        <f t="array" ref="K402">IF(F402=0," ",IF(ISBLANK(INDEX(Initial_Component_aggregator!H:H,MATCH(F402,Initial_Component_aggregator!B:B))),D402,INDEX(Initial_Component_aggregator!I:I,MATCH(J402,Initial_Component_aggregator!H:H))))</f>
        <v xml:space="preserve"> </v>
      </c>
      <c r="L402" t="str" cm="1">
        <f t="array" ref="L402">IF(F402=0," ",IF(ISBLANK(INDEX(Initial_Component_aggregator!H:H,MATCH(F402,Initial_Component_aggregator!B:B))),E402,INDEX(Initial_Component_aggregator!J:J,MATCH(J402,Initial_Component_aggregator!H:H))))</f>
        <v xml:space="preserve"> </v>
      </c>
      <c r="M402" t="str" cm="1">
        <f t="array" ref="M402">IF(F402=0," ",IF(ISBLANK(INDEX(Initial_Component_aggregator!H:H,MATCH(F402,Initial_Component_aggregator!B:B))),F402,INDEX(Initial_Component_aggregator!K:K,MATCH(J402,Initial_Component_aggregator!H:H))))</f>
        <v xml:space="preserve"> </v>
      </c>
    </row>
    <row r="403" spans="1:13" ht="36" customHeight="1">
      <c r="A403"/>
      <c r="B403"/>
      <c r="C403"/>
      <c r="D403"/>
      <c r="E403"/>
      <c r="F403"/>
      <c r="G403"/>
      <c r="H403" t="str">
        <f t="shared" si="6"/>
        <v xml:space="preserve"> </v>
      </c>
      <c r="I403" t="str" cm="1">
        <f t="array" ref="I403">IF(F403=0," ",IF(ISBLANK(INDEX(Initial_Component_aggregator!F:F,MATCH(F403,Initial_Component_aggregator!B:B,0))),"No change",INDEX(Initial_Component_aggregator!F:F,MATCH(F403,Initial_Component_aggregator!B:B,0))))</f>
        <v xml:space="preserve"> </v>
      </c>
      <c r="J403" t="str" cm="1">
        <f t="array" ref="J403">IF(F403=0," ",IF(ISBLANK(INDEX(Initial_Component_aggregator!H:H,MATCH(F403,Initial_Component_aggregator!B:B,0))),F403,INDEX(Initial_Component_aggregator!H:H,MATCH(F403,Initial_Component_aggregator!B:B,0))))</f>
        <v xml:space="preserve"> </v>
      </c>
      <c r="K403" t="str" cm="1">
        <f t="array" ref="K403">IF(F403=0," ",IF(ISBLANK(INDEX(Initial_Component_aggregator!H:H,MATCH(F403,Initial_Component_aggregator!B:B))),D403,INDEX(Initial_Component_aggregator!I:I,MATCH(J403,Initial_Component_aggregator!H:H))))</f>
        <v xml:space="preserve"> </v>
      </c>
      <c r="L403" t="str" cm="1">
        <f t="array" ref="L403">IF(F403=0," ",IF(ISBLANK(INDEX(Initial_Component_aggregator!H:H,MATCH(F403,Initial_Component_aggregator!B:B))),E403,INDEX(Initial_Component_aggregator!J:J,MATCH(J403,Initial_Component_aggregator!H:H))))</f>
        <v xml:space="preserve"> </v>
      </c>
      <c r="M403" t="str" cm="1">
        <f t="array" ref="M403">IF(F403=0," ",IF(ISBLANK(INDEX(Initial_Component_aggregator!H:H,MATCH(F403,Initial_Component_aggregator!B:B))),F403,INDEX(Initial_Component_aggregator!K:K,MATCH(J403,Initial_Component_aggregator!H:H))))</f>
        <v xml:space="preserve"> </v>
      </c>
    </row>
    <row r="404" spans="1:13" ht="36" customHeight="1">
      <c r="A404"/>
      <c r="B404"/>
      <c r="C404"/>
      <c r="D404"/>
      <c r="E404"/>
      <c r="F404"/>
      <c r="G404"/>
      <c r="H404" t="str">
        <f t="shared" si="6"/>
        <v xml:space="preserve"> </v>
      </c>
      <c r="I404" t="str" cm="1">
        <f t="array" ref="I404">IF(F404=0," ",IF(ISBLANK(INDEX(Initial_Component_aggregator!F:F,MATCH(F404,Initial_Component_aggregator!B:B,0))),"No change",INDEX(Initial_Component_aggregator!F:F,MATCH(F404,Initial_Component_aggregator!B:B,0))))</f>
        <v xml:space="preserve"> </v>
      </c>
      <c r="J404" t="str" cm="1">
        <f t="array" ref="J404">IF(F404=0," ",IF(ISBLANK(INDEX(Initial_Component_aggregator!H:H,MATCH(F404,Initial_Component_aggregator!B:B,0))),F404,INDEX(Initial_Component_aggregator!H:H,MATCH(F404,Initial_Component_aggregator!B:B,0))))</f>
        <v xml:space="preserve"> </v>
      </c>
      <c r="K404" t="str" cm="1">
        <f t="array" ref="K404">IF(F404=0," ",IF(ISBLANK(INDEX(Initial_Component_aggregator!H:H,MATCH(F404,Initial_Component_aggregator!B:B))),D404,INDEX(Initial_Component_aggregator!I:I,MATCH(J404,Initial_Component_aggregator!H:H))))</f>
        <v xml:space="preserve"> </v>
      </c>
      <c r="L404" t="str" cm="1">
        <f t="array" ref="L404">IF(F404=0," ",IF(ISBLANK(INDEX(Initial_Component_aggregator!H:H,MATCH(F404,Initial_Component_aggregator!B:B))),E404,INDEX(Initial_Component_aggregator!J:J,MATCH(J404,Initial_Component_aggregator!H:H))))</f>
        <v xml:space="preserve"> </v>
      </c>
      <c r="M404" t="str" cm="1">
        <f t="array" ref="M404">IF(F404=0," ",IF(ISBLANK(INDEX(Initial_Component_aggregator!H:H,MATCH(F404,Initial_Component_aggregator!B:B))),F404,INDEX(Initial_Component_aggregator!K:K,MATCH(J404,Initial_Component_aggregator!H:H))))</f>
        <v xml:space="preserve"> </v>
      </c>
    </row>
    <row r="405" spans="1:13" ht="36" customHeight="1">
      <c r="A405"/>
      <c r="B405"/>
      <c r="C405"/>
      <c r="D405"/>
      <c r="E405"/>
      <c r="F405"/>
      <c r="G405"/>
      <c r="H405" t="str">
        <f t="shared" si="6"/>
        <v xml:space="preserve"> </v>
      </c>
      <c r="I405" t="str" cm="1">
        <f t="array" ref="I405">IF(F405=0," ",IF(ISBLANK(INDEX(Initial_Component_aggregator!F:F,MATCH(F405,Initial_Component_aggregator!B:B,0))),"No change",INDEX(Initial_Component_aggregator!F:F,MATCH(F405,Initial_Component_aggregator!B:B,0))))</f>
        <v xml:space="preserve"> </v>
      </c>
      <c r="J405" t="str" cm="1">
        <f t="array" ref="J405">IF(F405=0," ",IF(ISBLANK(INDEX(Initial_Component_aggregator!H:H,MATCH(F405,Initial_Component_aggregator!B:B,0))),F405,INDEX(Initial_Component_aggregator!H:H,MATCH(F405,Initial_Component_aggregator!B:B,0))))</f>
        <v xml:space="preserve"> </v>
      </c>
      <c r="K405" t="str" cm="1">
        <f t="array" ref="K405">IF(F405=0," ",IF(ISBLANK(INDEX(Initial_Component_aggregator!H:H,MATCH(F405,Initial_Component_aggregator!B:B))),D405,INDEX(Initial_Component_aggregator!I:I,MATCH(J405,Initial_Component_aggregator!H:H))))</f>
        <v xml:space="preserve"> </v>
      </c>
      <c r="L405" t="str" cm="1">
        <f t="array" ref="L405">IF(F405=0," ",IF(ISBLANK(INDEX(Initial_Component_aggregator!H:H,MATCH(F405,Initial_Component_aggregator!B:B))),E405,INDEX(Initial_Component_aggregator!J:J,MATCH(J405,Initial_Component_aggregator!H:H))))</f>
        <v xml:space="preserve"> </v>
      </c>
      <c r="M405" t="str" cm="1">
        <f t="array" ref="M405">IF(F405=0," ",IF(ISBLANK(INDEX(Initial_Component_aggregator!H:H,MATCH(F405,Initial_Component_aggregator!B:B))),F405,INDEX(Initial_Component_aggregator!K:K,MATCH(J405,Initial_Component_aggregator!H:H))))</f>
        <v xml:space="preserve"> </v>
      </c>
    </row>
    <row r="406" spans="1:13" ht="36" customHeight="1">
      <c r="A406"/>
      <c r="B406"/>
      <c r="C406"/>
      <c r="D406"/>
      <c r="E406"/>
      <c r="F406"/>
      <c r="G406"/>
      <c r="H406" t="str">
        <f t="shared" si="6"/>
        <v xml:space="preserve"> </v>
      </c>
      <c r="I406" t="str" cm="1">
        <f t="array" ref="I406">IF(F406=0," ",IF(ISBLANK(INDEX(Initial_Component_aggregator!F:F,MATCH(F406,Initial_Component_aggregator!B:B,0))),"No change",INDEX(Initial_Component_aggregator!F:F,MATCH(F406,Initial_Component_aggregator!B:B,0))))</f>
        <v xml:space="preserve"> </v>
      </c>
      <c r="J406" t="str" cm="1">
        <f t="array" ref="J406">IF(F406=0," ",IF(ISBLANK(INDEX(Initial_Component_aggregator!H:H,MATCH(F406,Initial_Component_aggregator!B:B,0))),F406,INDEX(Initial_Component_aggregator!H:H,MATCH(F406,Initial_Component_aggregator!B:B,0))))</f>
        <v xml:space="preserve"> </v>
      </c>
      <c r="K406" t="str" cm="1">
        <f t="array" ref="K406">IF(F406=0," ",IF(ISBLANK(INDEX(Initial_Component_aggregator!H:H,MATCH(F406,Initial_Component_aggregator!B:B))),D406,INDEX(Initial_Component_aggregator!I:I,MATCH(J406,Initial_Component_aggregator!H:H))))</f>
        <v xml:space="preserve"> </v>
      </c>
      <c r="L406" t="str" cm="1">
        <f t="array" ref="L406">IF(F406=0," ",IF(ISBLANK(INDEX(Initial_Component_aggregator!H:H,MATCH(F406,Initial_Component_aggregator!B:B))),E406,INDEX(Initial_Component_aggregator!J:J,MATCH(J406,Initial_Component_aggregator!H:H))))</f>
        <v xml:space="preserve"> </v>
      </c>
      <c r="M406" t="str" cm="1">
        <f t="array" ref="M406">IF(F406=0," ",IF(ISBLANK(INDEX(Initial_Component_aggregator!H:H,MATCH(F406,Initial_Component_aggregator!B:B))),F406,INDEX(Initial_Component_aggregator!K:K,MATCH(J406,Initial_Component_aggregator!H:H))))</f>
        <v xml:space="preserve"> </v>
      </c>
    </row>
    <row r="407" spans="1:13" ht="36" customHeight="1">
      <c r="A407"/>
      <c r="B407"/>
      <c r="C407"/>
      <c r="D407"/>
      <c r="E407"/>
      <c r="F407"/>
      <c r="G407"/>
      <c r="H407" t="str">
        <f t="shared" si="6"/>
        <v xml:space="preserve"> </v>
      </c>
      <c r="I407" t="str" cm="1">
        <f t="array" ref="I407">IF(F407=0," ",IF(ISBLANK(INDEX(Initial_Component_aggregator!F:F,MATCH(F407,Initial_Component_aggregator!B:B,0))),"No change",INDEX(Initial_Component_aggregator!F:F,MATCH(F407,Initial_Component_aggregator!B:B,0))))</f>
        <v xml:space="preserve"> </v>
      </c>
      <c r="J407" t="str" cm="1">
        <f t="array" ref="J407">IF(F407=0," ",IF(ISBLANK(INDEX(Initial_Component_aggregator!H:H,MATCH(F407,Initial_Component_aggregator!B:B,0))),F407,INDEX(Initial_Component_aggregator!H:H,MATCH(F407,Initial_Component_aggregator!B:B,0))))</f>
        <v xml:space="preserve"> </v>
      </c>
      <c r="K407" t="str" cm="1">
        <f t="array" ref="K407">IF(F407=0," ",IF(ISBLANK(INDEX(Initial_Component_aggregator!H:H,MATCH(F407,Initial_Component_aggregator!B:B))),D407,INDEX(Initial_Component_aggregator!I:I,MATCH(J407,Initial_Component_aggregator!H:H))))</f>
        <v xml:space="preserve"> </v>
      </c>
      <c r="L407" t="str" cm="1">
        <f t="array" ref="L407">IF(F407=0," ",IF(ISBLANK(INDEX(Initial_Component_aggregator!H:H,MATCH(F407,Initial_Component_aggregator!B:B))),E407,INDEX(Initial_Component_aggregator!J:J,MATCH(J407,Initial_Component_aggregator!H:H))))</f>
        <v xml:space="preserve"> </v>
      </c>
      <c r="M407" t="str" cm="1">
        <f t="array" ref="M407">IF(F407=0," ",IF(ISBLANK(INDEX(Initial_Component_aggregator!H:H,MATCH(F407,Initial_Component_aggregator!B:B))),F407,INDEX(Initial_Component_aggregator!K:K,MATCH(J407,Initial_Component_aggregator!H:H))))</f>
        <v xml:space="preserve"> </v>
      </c>
    </row>
    <row r="408" spans="1:13" ht="36" customHeight="1">
      <c r="A408"/>
      <c r="B408"/>
      <c r="C408"/>
      <c r="D408"/>
      <c r="E408"/>
      <c r="F408"/>
      <c r="G408"/>
      <c r="H408" t="str">
        <f t="shared" si="6"/>
        <v xml:space="preserve"> </v>
      </c>
      <c r="I408" t="str" cm="1">
        <f t="array" ref="I408">IF(F408=0," ",IF(ISBLANK(INDEX(Initial_Component_aggregator!F:F,MATCH(F408,Initial_Component_aggregator!B:B,0))),"No change",INDEX(Initial_Component_aggregator!F:F,MATCH(F408,Initial_Component_aggregator!B:B,0))))</f>
        <v xml:space="preserve"> </v>
      </c>
      <c r="J408" t="str" cm="1">
        <f t="array" ref="J408">IF(F408=0," ",IF(ISBLANK(INDEX(Initial_Component_aggregator!H:H,MATCH(F408,Initial_Component_aggregator!B:B,0))),F408,INDEX(Initial_Component_aggregator!H:H,MATCH(F408,Initial_Component_aggregator!B:B,0))))</f>
        <v xml:space="preserve"> </v>
      </c>
      <c r="K408" t="str" cm="1">
        <f t="array" ref="K408">IF(F408=0," ",IF(ISBLANK(INDEX(Initial_Component_aggregator!H:H,MATCH(F408,Initial_Component_aggregator!B:B))),D408,INDEX(Initial_Component_aggregator!I:I,MATCH(J408,Initial_Component_aggregator!H:H))))</f>
        <v xml:space="preserve"> </v>
      </c>
      <c r="L408" t="str" cm="1">
        <f t="array" ref="L408">IF(F408=0," ",IF(ISBLANK(INDEX(Initial_Component_aggregator!H:H,MATCH(F408,Initial_Component_aggregator!B:B))),E408,INDEX(Initial_Component_aggregator!J:J,MATCH(J408,Initial_Component_aggregator!H:H))))</f>
        <v xml:space="preserve"> </v>
      </c>
      <c r="M408" t="str" cm="1">
        <f t="array" ref="M408">IF(F408=0," ",IF(ISBLANK(INDEX(Initial_Component_aggregator!H:H,MATCH(F408,Initial_Component_aggregator!B:B))),F408,INDEX(Initial_Component_aggregator!K:K,MATCH(J408,Initial_Component_aggregator!H:H))))</f>
        <v xml:space="preserve"> </v>
      </c>
    </row>
    <row r="409" spans="1:13" ht="36" customHeight="1">
      <c r="A409"/>
      <c r="B409"/>
      <c r="C409"/>
      <c r="D409"/>
      <c r="E409"/>
      <c r="F409"/>
      <c r="G409"/>
      <c r="H409" t="str">
        <f t="shared" si="6"/>
        <v xml:space="preserve"> </v>
      </c>
      <c r="I409" t="str" cm="1">
        <f t="array" ref="I409">IF(F409=0," ",IF(ISBLANK(INDEX(Initial_Component_aggregator!F:F,MATCH(F409,Initial_Component_aggregator!B:B,0))),"No change",INDEX(Initial_Component_aggregator!F:F,MATCH(F409,Initial_Component_aggregator!B:B,0))))</f>
        <v xml:space="preserve"> </v>
      </c>
      <c r="J409" t="str" cm="1">
        <f t="array" ref="J409">IF(F409=0," ",IF(ISBLANK(INDEX(Initial_Component_aggregator!H:H,MATCH(F409,Initial_Component_aggregator!B:B,0))),F409,INDEX(Initial_Component_aggregator!H:H,MATCH(F409,Initial_Component_aggregator!B:B,0))))</f>
        <v xml:space="preserve"> </v>
      </c>
      <c r="K409" t="str" cm="1">
        <f t="array" ref="K409">IF(F409=0," ",IF(ISBLANK(INDEX(Initial_Component_aggregator!H:H,MATCH(F409,Initial_Component_aggregator!B:B))),D409,INDEX(Initial_Component_aggregator!I:I,MATCH(J409,Initial_Component_aggregator!H:H))))</f>
        <v xml:space="preserve"> </v>
      </c>
      <c r="L409" t="str" cm="1">
        <f t="array" ref="L409">IF(F409=0," ",IF(ISBLANK(INDEX(Initial_Component_aggregator!H:H,MATCH(F409,Initial_Component_aggregator!B:B))),E409,INDEX(Initial_Component_aggregator!J:J,MATCH(J409,Initial_Component_aggregator!H:H))))</f>
        <v xml:space="preserve"> </v>
      </c>
      <c r="M409" t="str" cm="1">
        <f t="array" ref="M409">IF(F409=0," ",IF(ISBLANK(INDEX(Initial_Component_aggregator!H:H,MATCH(F409,Initial_Component_aggregator!B:B))),F409,INDEX(Initial_Component_aggregator!K:K,MATCH(J409,Initial_Component_aggregator!H:H))))</f>
        <v xml:space="preserve"> </v>
      </c>
    </row>
    <row r="410" spans="1:13" ht="36" customHeight="1">
      <c r="A410"/>
      <c r="B410"/>
      <c r="C410"/>
      <c r="D410"/>
      <c r="E410"/>
      <c r="F410"/>
      <c r="G410"/>
      <c r="H410" t="str">
        <f t="shared" si="6"/>
        <v xml:space="preserve"> </v>
      </c>
      <c r="I410" t="str" cm="1">
        <f t="array" ref="I410">IF(F410=0," ",IF(ISBLANK(INDEX(Initial_Component_aggregator!F:F,MATCH(F410,Initial_Component_aggregator!B:B,0))),"No change",INDEX(Initial_Component_aggregator!F:F,MATCH(F410,Initial_Component_aggregator!B:B,0))))</f>
        <v xml:space="preserve"> </v>
      </c>
      <c r="J410" t="str" cm="1">
        <f t="array" ref="J410">IF(F410=0," ",IF(ISBLANK(INDEX(Initial_Component_aggregator!H:H,MATCH(F410,Initial_Component_aggregator!B:B,0))),F410,INDEX(Initial_Component_aggregator!H:H,MATCH(F410,Initial_Component_aggregator!B:B,0))))</f>
        <v xml:space="preserve"> </v>
      </c>
      <c r="K410" t="str" cm="1">
        <f t="array" ref="K410">IF(F410=0," ",IF(ISBLANK(INDEX(Initial_Component_aggregator!H:H,MATCH(F410,Initial_Component_aggregator!B:B))),D410,INDEX(Initial_Component_aggregator!I:I,MATCH(J410,Initial_Component_aggregator!H:H))))</f>
        <v xml:space="preserve"> </v>
      </c>
      <c r="L410" t="str" cm="1">
        <f t="array" ref="L410">IF(F410=0," ",IF(ISBLANK(INDEX(Initial_Component_aggregator!H:H,MATCH(F410,Initial_Component_aggregator!B:B))),E410,INDEX(Initial_Component_aggregator!J:J,MATCH(J410,Initial_Component_aggregator!H:H))))</f>
        <v xml:space="preserve"> </v>
      </c>
      <c r="M410" t="str" cm="1">
        <f t="array" ref="M410">IF(F410=0," ",IF(ISBLANK(INDEX(Initial_Component_aggregator!H:H,MATCH(F410,Initial_Component_aggregator!B:B))),F410,INDEX(Initial_Component_aggregator!K:K,MATCH(J410,Initial_Component_aggregator!H:H))))</f>
        <v xml:space="preserve"> </v>
      </c>
    </row>
    <row r="411" spans="1:13" ht="36" customHeight="1">
      <c r="A411"/>
      <c r="B411"/>
      <c r="C411"/>
      <c r="D411"/>
      <c r="E411"/>
      <c r="F411"/>
      <c r="G411"/>
      <c r="H411" t="str">
        <f t="shared" si="6"/>
        <v xml:space="preserve"> </v>
      </c>
      <c r="I411" t="str" cm="1">
        <f t="array" ref="I411">IF(F411=0," ",IF(ISBLANK(INDEX(Initial_Component_aggregator!F:F,MATCH(F411,Initial_Component_aggregator!B:B,0))),"No change",INDEX(Initial_Component_aggregator!F:F,MATCH(F411,Initial_Component_aggregator!B:B,0))))</f>
        <v xml:space="preserve"> </v>
      </c>
      <c r="J411" t="str" cm="1">
        <f t="array" ref="J411">IF(F411=0," ",IF(ISBLANK(INDEX(Initial_Component_aggregator!H:H,MATCH(F411,Initial_Component_aggregator!B:B,0))),F411,INDEX(Initial_Component_aggregator!H:H,MATCH(F411,Initial_Component_aggregator!B:B,0))))</f>
        <v xml:space="preserve"> </v>
      </c>
      <c r="K411" t="str" cm="1">
        <f t="array" ref="K411">IF(F411=0," ",IF(ISBLANK(INDEX(Initial_Component_aggregator!H:H,MATCH(F411,Initial_Component_aggregator!B:B))),D411,INDEX(Initial_Component_aggregator!I:I,MATCH(J411,Initial_Component_aggregator!H:H))))</f>
        <v xml:space="preserve"> </v>
      </c>
      <c r="L411" t="str" cm="1">
        <f t="array" ref="L411">IF(F411=0," ",IF(ISBLANK(INDEX(Initial_Component_aggregator!H:H,MATCH(F411,Initial_Component_aggregator!B:B))),E411,INDEX(Initial_Component_aggregator!J:J,MATCH(J411,Initial_Component_aggregator!H:H))))</f>
        <v xml:space="preserve"> </v>
      </c>
      <c r="M411" t="str" cm="1">
        <f t="array" ref="M411">IF(F411=0," ",IF(ISBLANK(INDEX(Initial_Component_aggregator!H:H,MATCH(F411,Initial_Component_aggregator!B:B))),F411,INDEX(Initial_Component_aggregator!K:K,MATCH(J411,Initial_Component_aggregator!H:H))))</f>
        <v xml:space="preserve"> </v>
      </c>
    </row>
    <row r="412" spans="1:13" ht="36" customHeight="1">
      <c r="A412"/>
      <c r="B412"/>
      <c r="C412"/>
      <c r="D412"/>
      <c r="E412"/>
      <c r="F412"/>
      <c r="G412"/>
      <c r="H412" t="str">
        <f t="shared" si="6"/>
        <v xml:space="preserve"> </v>
      </c>
      <c r="I412" t="str" cm="1">
        <f t="array" ref="I412">IF(F412=0," ",IF(ISBLANK(INDEX(Initial_Component_aggregator!F:F,MATCH(F412,Initial_Component_aggregator!B:B,0))),"No change",INDEX(Initial_Component_aggregator!F:F,MATCH(F412,Initial_Component_aggregator!B:B,0))))</f>
        <v xml:space="preserve"> </v>
      </c>
      <c r="J412" t="str" cm="1">
        <f t="array" ref="J412">IF(F412=0," ",IF(ISBLANK(INDEX(Initial_Component_aggregator!H:H,MATCH(F412,Initial_Component_aggregator!B:B,0))),F412,INDEX(Initial_Component_aggregator!H:H,MATCH(F412,Initial_Component_aggregator!B:B,0))))</f>
        <v xml:space="preserve"> </v>
      </c>
      <c r="K412" t="str" cm="1">
        <f t="array" ref="K412">IF(F412=0," ",IF(ISBLANK(INDEX(Initial_Component_aggregator!H:H,MATCH(F412,Initial_Component_aggregator!B:B))),D412,INDEX(Initial_Component_aggregator!I:I,MATCH(J412,Initial_Component_aggregator!H:H))))</f>
        <v xml:space="preserve"> </v>
      </c>
      <c r="L412" t="str" cm="1">
        <f t="array" ref="L412">IF(F412=0," ",IF(ISBLANK(INDEX(Initial_Component_aggregator!H:H,MATCH(F412,Initial_Component_aggregator!B:B))),E412,INDEX(Initial_Component_aggregator!J:J,MATCH(J412,Initial_Component_aggregator!H:H))))</f>
        <v xml:space="preserve"> </v>
      </c>
      <c r="M412" t="str" cm="1">
        <f t="array" ref="M412">IF(F412=0," ",IF(ISBLANK(INDEX(Initial_Component_aggregator!H:H,MATCH(F412,Initial_Component_aggregator!B:B))),F412,INDEX(Initial_Component_aggregator!K:K,MATCH(J412,Initial_Component_aggregator!H:H))))</f>
        <v xml:space="preserve"> </v>
      </c>
    </row>
    <row r="413" spans="1:13" ht="36" customHeight="1">
      <c r="A413"/>
      <c r="B413"/>
      <c r="C413"/>
      <c r="D413"/>
      <c r="E413"/>
      <c r="F413"/>
      <c r="G413"/>
      <c r="H413" t="str">
        <f t="shared" si="6"/>
        <v xml:space="preserve"> </v>
      </c>
      <c r="I413" t="str" cm="1">
        <f t="array" ref="I413">IF(F413=0," ",IF(ISBLANK(INDEX(Initial_Component_aggregator!F:F,MATCH(F413,Initial_Component_aggregator!B:B,0))),"No change",INDEX(Initial_Component_aggregator!F:F,MATCH(F413,Initial_Component_aggregator!B:B,0))))</f>
        <v xml:space="preserve"> </v>
      </c>
      <c r="J413" t="str" cm="1">
        <f t="array" ref="J413">IF(F413=0," ",IF(ISBLANK(INDEX(Initial_Component_aggregator!H:H,MATCH(F413,Initial_Component_aggregator!B:B,0))),F413,INDEX(Initial_Component_aggregator!H:H,MATCH(F413,Initial_Component_aggregator!B:B,0))))</f>
        <v xml:space="preserve"> </v>
      </c>
      <c r="K413" t="str" cm="1">
        <f t="array" ref="K413">IF(F413=0," ",IF(ISBLANK(INDEX(Initial_Component_aggregator!H:H,MATCH(F413,Initial_Component_aggregator!B:B))),D413,INDEX(Initial_Component_aggregator!I:I,MATCH(J413,Initial_Component_aggregator!H:H))))</f>
        <v xml:space="preserve"> </v>
      </c>
      <c r="L413" t="str" cm="1">
        <f t="array" ref="L413">IF(F413=0," ",IF(ISBLANK(INDEX(Initial_Component_aggregator!H:H,MATCH(F413,Initial_Component_aggregator!B:B))),E413,INDEX(Initial_Component_aggregator!J:J,MATCH(J413,Initial_Component_aggregator!H:H))))</f>
        <v xml:space="preserve"> </v>
      </c>
      <c r="M413" t="str" cm="1">
        <f t="array" ref="M413">IF(F413=0," ",IF(ISBLANK(INDEX(Initial_Component_aggregator!H:H,MATCH(F413,Initial_Component_aggregator!B:B))),F413,INDEX(Initial_Component_aggregator!K:K,MATCH(J413,Initial_Component_aggregator!H:H))))</f>
        <v xml:space="preserve"> </v>
      </c>
    </row>
    <row r="414" spans="1:13" ht="36" customHeight="1">
      <c r="A414"/>
      <c r="B414"/>
      <c r="C414"/>
      <c r="D414"/>
      <c r="E414"/>
      <c r="F414"/>
      <c r="G414"/>
      <c r="H414" t="str">
        <f t="shared" si="6"/>
        <v xml:space="preserve"> </v>
      </c>
      <c r="I414" t="str" cm="1">
        <f t="array" ref="I414">IF(F414=0," ",IF(ISBLANK(INDEX(Initial_Component_aggregator!F:F,MATCH(F414,Initial_Component_aggregator!B:B,0))),"No change",INDEX(Initial_Component_aggregator!F:F,MATCH(F414,Initial_Component_aggregator!B:B,0))))</f>
        <v xml:space="preserve"> </v>
      </c>
      <c r="J414" t="str" cm="1">
        <f t="array" ref="J414">IF(F414=0," ",IF(ISBLANK(INDEX(Initial_Component_aggregator!H:H,MATCH(F414,Initial_Component_aggregator!B:B,0))),F414,INDEX(Initial_Component_aggregator!H:H,MATCH(F414,Initial_Component_aggregator!B:B,0))))</f>
        <v xml:space="preserve"> </v>
      </c>
      <c r="K414" t="str" cm="1">
        <f t="array" ref="K414">IF(F414=0," ",IF(ISBLANK(INDEX(Initial_Component_aggregator!H:H,MATCH(F414,Initial_Component_aggregator!B:B))),D414,INDEX(Initial_Component_aggregator!I:I,MATCH(J414,Initial_Component_aggregator!H:H))))</f>
        <v xml:space="preserve"> </v>
      </c>
      <c r="L414" t="str" cm="1">
        <f t="array" ref="L414">IF(F414=0," ",IF(ISBLANK(INDEX(Initial_Component_aggregator!H:H,MATCH(F414,Initial_Component_aggregator!B:B))),E414,INDEX(Initial_Component_aggregator!J:J,MATCH(J414,Initial_Component_aggregator!H:H))))</f>
        <v xml:space="preserve"> </v>
      </c>
      <c r="M414" t="str" cm="1">
        <f t="array" ref="M414">IF(F414=0," ",IF(ISBLANK(INDEX(Initial_Component_aggregator!H:H,MATCH(F414,Initial_Component_aggregator!B:B))),F414,INDEX(Initial_Component_aggregator!K:K,MATCH(J414,Initial_Component_aggregator!H:H))))</f>
        <v xml:space="preserve"> </v>
      </c>
    </row>
    <row r="415" spans="1:13" ht="36" customHeight="1">
      <c r="A415"/>
      <c r="B415"/>
      <c r="C415"/>
      <c r="D415"/>
      <c r="E415"/>
      <c r="F415"/>
      <c r="G415"/>
      <c r="H415" t="str">
        <f t="shared" si="6"/>
        <v xml:space="preserve"> </v>
      </c>
      <c r="I415" t="str" cm="1">
        <f t="array" ref="I415">IF(F415=0," ",IF(ISBLANK(INDEX(Initial_Component_aggregator!F:F,MATCH(F415,Initial_Component_aggregator!B:B,0))),"No change",INDEX(Initial_Component_aggregator!F:F,MATCH(F415,Initial_Component_aggregator!B:B,0))))</f>
        <v xml:space="preserve"> </v>
      </c>
      <c r="J415" t="str" cm="1">
        <f t="array" ref="J415">IF(F415=0," ",IF(ISBLANK(INDEX(Initial_Component_aggregator!H:H,MATCH(F415,Initial_Component_aggregator!B:B,0))),F415,INDEX(Initial_Component_aggregator!H:H,MATCH(F415,Initial_Component_aggregator!B:B,0))))</f>
        <v xml:space="preserve"> </v>
      </c>
      <c r="K415" t="str" cm="1">
        <f t="array" ref="K415">IF(F415=0," ",IF(ISBLANK(INDEX(Initial_Component_aggregator!H:H,MATCH(F415,Initial_Component_aggregator!B:B))),D415,INDEX(Initial_Component_aggregator!I:I,MATCH(J415,Initial_Component_aggregator!H:H))))</f>
        <v xml:space="preserve"> </v>
      </c>
      <c r="L415" t="str" cm="1">
        <f t="array" ref="L415">IF(F415=0," ",IF(ISBLANK(INDEX(Initial_Component_aggregator!H:H,MATCH(F415,Initial_Component_aggregator!B:B))),E415,INDEX(Initial_Component_aggregator!J:J,MATCH(J415,Initial_Component_aggregator!H:H))))</f>
        <v xml:space="preserve"> </v>
      </c>
      <c r="M415" t="str" cm="1">
        <f t="array" ref="M415">IF(F415=0," ",IF(ISBLANK(INDEX(Initial_Component_aggregator!H:H,MATCH(F415,Initial_Component_aggregator!B:B))),F415,INDEX(Initial_Component_aggregator!K:K,MATCH(J415,Initial_Component_aggregator!H:H))))</f>
        <v xml:space="preserve"> </v>
      </c>
    </row>
    <row r="416" spans="1:13" ht="36" customHeight="1">
      <c r="A416"/>
      <c r="B416"/>
      <c r="C416"/>
      <c r="D416"/>
      <c r="E416"/>
      <c r="F416"/>
      <c r="G416"/>
      <c r="H416" t="str">
        <f t="shared" si="6"/>
        <v xml:space="preserve"> </v>
      </c>
      <c r="I416" t="str" cm="1">
        <f t="array" ref="I416">IF(F416=0," ",IF(ISBLANK(INDEX(Initial_Component_aggregator!F:F,MATCH(F416,Initial_Component_aggregator!B:B,0))),"No change",INDEX(Initial_Component_aggregator!F:F,MATCH(F416,Initial_Component_aggregator!B:B,0))))</f>
        <v xml:space="preserve"> </v>
      </c>
      <c r="J416" t="str" cm="1">
        <f t="array" ref="J416">IF(F416=0," ",IF(ISBLANK(INDEX(Initial_Component_aggregator!H:H,MATCH(F416,Initial_Component_aggregator!B:B,0))),F416,INDEX(Initial_Component_aggregator!H:H,MATCH(F416,Initial_Component_aggregator!B:B,0))))</f>
        <v xml:space="preserve"> </v>
      </c>
      <c r="K416" t="str" cm="1">
        <f t="array" ref="K416">IF(F416=0," ",IF(ISBLANK(INDEX(Initial_Component_aggregator!H:H,MATCH(F416,Initial_Component_aggregator!B:B))),D416,INDEX(Initial_Component_aggregator!I:I,MATCH(J416,Initial_Component_aggregator!H:H))))</f>
        <v xml:space="preserve"> </v>
      </c>
      <c r="L416" t="str" cm="1">
        <f t="array" ref="L416">IF(F416=0," ",IF(ISBLANK(INDEX(Initial_Component_aggregator!H:H,MATCH(F416,Initial_Component_aggregator!B:B))),E416,INDEX(Initial_Component_aggregator!J:J,MATCH(J416,Initial_Component_aggregator!H:H))))</f>
        <v xml:space="preserve"> </v>
      </c>
      <c r="M416" t="str" cm="1">
        <f t="array" ref="M416">IF(F416=0," ",IF(ISBLANK(INDEX(Initial_Component_aggregator!H:H,MATCH(F416,Initial_Component_aggregator!B:B))),F416,INDEX(Initial_Component_aggregator!K:K,MATCH(J416,Initial_Component_aggregator!H:H))))</f>
        <v xml:space="preserve"> </v>
      </c>
    </row>
    <row r="417" spans="1:13" ht="36" customHeight="1">
      <c r="A417"/>
      <c r="B417"/>
      <c r="C417"/>
      <c r="D417"/>
      <c r="E417"/>
      <c r="F417"/>
      <c r="G417"/>
      <c r="H417" t="str">
        <f t="shared" si="6"/>
        <v xml:space="preserve"> </v>
      </c>
      <c r="I417" t="str" cm="1">
        <f t="array" ref="I417">IF(F417=0," ",IF(ISBLANK(INDEX(Initial_Component_aggregator!F:F,MATCH(F417,Initial_Component_aggregator!B:B,0))),"No change",INDEX(Initial_Component_aggregator!F:F,MATCH(F417,Initial_Component_aggregator!B:B,0))))</f>
        <v xml:space="preserve"> </v>
      </c>
      <c r="J417" t="str" cm="1">
        <f t="array" ref="J417">IF(F417=0," ",IF(ISBLANK(INDEX(Initial_Component_aggregator!H:H,MATCH(F417,Initial_Component_aggregator!B:B,0))),F417,INDEX(Initial_Component_aggregator!H:H,MATCH(F417,Initial_Component_aggregator!B:B,0))))</f>
        <v xml:space="preserve"> </v>
      </c>
      <c r="K417" t="str" cm="1">
        <f t="array" ref="K417">IF(F417=0," ",IF(ISBLANK(INDEX(Initial_Component_aggregator!H:H,MATCH(F417,Initial_Component_aggregator!B:B))),D417,INDEX(Initial_Component_aggregator!I:I,MATCH(J417,Initial_Component_aggregator!H:H))))</f>
        <v xml:space="preserve"> </v>
      </c>
      <c r="L417" t="str" cm="1">
        <f t="array" ref="L417">IF(F417=0," ",IF(ISBLANK(INDEX(Initial_Component_aggregator!H:H,MATCH(F417,Initial_Component_aggregator!B:B))),E417,INDEX(Initial_Component_aggregator!J:J,MATCH(J417,Initial_Component_aggregator!H:H))))</f>
        <v xml:space="preserve"> </v>
      </c>
      <c r="M417" t="str" cm="1">
        <f t="array" ref="M417">IF(F417=0," ",IF(ISBLANK(INDEX(Initial_Component_aggregator!H:H,MATCH(F417,Initial_Component_aggregator!B:B))),F417,INDEX(Initial_Component_aggregator!K:K,MATCH(J417,Initial_Component_aggregator!H:H))))</f>
        <v xml:space="preserve"> </v>
      </c>
    </row>
    <row r="418" spans="1:13" ht="36" customHeight="1">
      <c r="A418"/>
      <c r="B418"/>
      <c r="C418"/>
      <c r="D418"/>
      <c r="E418"/>
      <c r="F418"/>
      <c r="G418"/>
      <c r="H418" t="str">
        <f t="shared" si="6"/>
        <v xml:space="preserve"> </v>
      </c>
      <c r="I418" t="str" cm="1">
        <f t="array" ref="I418">IF(F418=0," ",IF(ISBLANK(INDEX(Initial_Component_aggregator!F:F,MATCH(F418,Initial_Component_aggregator!B:B,0))),"No change",INDEX(Initial_Component_aggregator!F:F,MATCH(F418,Initial_Component_aggregator!B:B,0))))</f>
        <v xml:space="preserve"> </v>
      </c>
      <c r="J418" t="str" cm="1">
        <f t="array" ref="J418">IF(F418=0," ",IF(ISBLANK(INDEX(Initial_Component_aggregator!H:H,MATCH(F418,Initial_Component_aggregator!B:B,0))),F418,INDEX(Initial_Component_aggregator!H:H,MATCH(F418,Initial_Component_aggregator!B:B,0))))</f>
        <v xml:space="preserve"> </v>
      </c>
      <c r="K418" t="str" cm="1">
        <f t="array" ref="K418">IF(F418=0," ",IF(ISBLANK(INDEX(Initial_Component_aggregator!H:H,MATCH(F418,Initial_Component_aggregator!B:B))),D418,INDEX(Initial_Component_aggregator!I:I,MATCH(J418,Initial_Component_aggregator!H:H))))</f>
        <v xml:space="preserve"> </v>
      </c>
      <c r="L418" t="str" cm="1">
        <f t="array" ref="L418">IF(F418=0," ",IF(ISBLANK(INDEX(Initial_Component_aggregator!H:H,MATCH(F418,Initial_Component_aggregator!B:B))),E418,INDEX(Initial_Component_aggregator!J:J,MATCH(J418,Initial_Component_aggregator!H:H))))</f>
        <v xml:space="preserve"> </v>
      </c>
      <c r="M418" t="str" cm="1">
        <f t="array" ref="M418">IF(F418=0," ",IF(ISBLANK(INDEX(Initial_Component_aggregator!H:H,MATCH(F418,Initial_Component_aggregator!B:B))),F418,INDEX(Initial_Component_aggregator!K:K,MATCH(J418,Initial_Component_aggregator!H:H))))</f>
        <v xml:space="preserve"> </v>
      </c>
    </row>
    <row r="419" spans="1:13" ht="36" customHeight="1">
      <c r="A419"/>
      <c r="B419"/>
      <c r="C419"/>
      <c r="D419"/>
      <c r="E419"/>
      <c r="F419"/>
      <c r="G419"/>
      <c r="H419" t="str">
        <f t="shared" si="6"/>
        <v xml:space="preserve"> </v>
      </c>
      <c r="I419" t="str" cm="1">
        <f t="array" ref="I419">IF(F419=0," ",IF(ISBLANK(INDEX(Initial_Component_aggregator!F:F,MATCH(F419,Initial_Component_aggregator!B:B,0))),"No change",INDEX(Initial_Component_aggregator!F:F,MATCH(F419,Initial_Component_aggregator!B:B,0))))</f>
        <v xml:space="preserve"> </v>
      </c>
      <c r="J419" t="str" cm="1">
        <f t="array" ref="J419">IF(F419=0," ",IF(ISBLANK(INDEX(Initial_Component_aggregator!H:H,MATCH(F419,Initial_Component_aggregator!B:B,0))),F419,INDEX(Initial_Component_aggregator!H:H,MATCH(F419,Initial_Component_aggregator!B:B,0))))</f>
        <v xml:space="preserve"> </v>
      </c>
      <c r="K419" t="str" cm="1">
        <f t="array" ref="K419">IF(F419=0," ",IF(ISBLANK(INDEX(Initial_Component_aggregator!H:H,MATCH(F419,Initial_Component_aggregator!B:B))),D419,INDEX(Initial_Component_aggregator!I:I,MATCH(J419,Initial_Component_aggregator!H:H))))</f>
        <v xml:space="preserve"> </v>
      </c>
      <c r="L419" t="str" cm="1">
        <f t="array" ref="L419">IF(F419=0," ",IF(ISBLANK(INDEX(Initial_Component_aggregator!H:H,MATCH(F419,Initial_Component_aggregator!B:B))),E419,INDEX(Initial_Component_aggregator!J:J,MATCH(J419,Initial_Component_aggregator!H:H))))</f>
        <v xml:space="preserve"> </v>
      </c>
      <c r="M419" t="str" cm="1">
        <f t="array" ref="M419">IF(F419=0," ",IF(ISBLANK(INDEX(Initial_Component_aggregator!H:H,MATCH(F419,Initial_Component_aggregator!B:B))),F419,INDEX(Initial_Component_aggregator!K:K,MATCH(J419,Initial_Component_aggregator!H:H))))</f>
        <v xml:space="preserve"> </v>
      </c>
    </row>
    <row r="420" spans="1:13" ht="36" customHeight="1">
      <c r="A420"/>
      <c r="B420"/>
      <c r="C420"/>
      <c r="D420"/>
      <c r="E420"/>
      <c r="F420"/>
      <c r="G420"/>
      <c r="H420" t="str">
        <f t="shared" si="6"/>
        <v xml:space="preserve"> </v>
      </c>
      <c r="I420" t="str" cm="1">
        <f t="array" ref="I420">IF(F420=0," ",IF(ISBLANK(INDEX(Initial_Component_aggregator!F:F,MATCH(F420,Initial_Component_aggregator!B:B,0))),"No change",INDEX(Initial_Component_aggregator!F:F,MATCH(F420,Initial_Component_aggregator!B:B,0))))</f>
        <v xml:space="preserve"> </v>
      </c>
      <c r="J420" t="str" cm="1">
        <f t="array" ref="J420">IF(F420=0," ",IF(ISBLANK(INDEX(Initial_Component_aggregator!H:H,MATCH(F420,Initial_Component_aggregator!B:B,0))),F420,INDEX(Initial_Component_aggregator!H:H,MATCH(F420,Initial_Component_aggregator!B:B,0))))</f>
        <v xml:space="preserve"> </v>
      </c>
      <c r="K420" t="str" cm="1">
        <f t="array" ref="K420">IF(F420=0," ",IF(ISBLANK(INDEX(Initial_Component_aggregator!H:H,MATCH(F420,Initial_Component_aggregator!B:B))),D420,INDEX(Initial_Component_aggregator!I:I,MATCH(J420,Initial_Component_aggregator!H:H))))</f>
        <v xml:space="preserve"> </v>
      </c>
      <c r="L420" t="str" cm="1">
        <f t="array" ref="L420">IF(F420=0," ",IF(ISBLANK(INDEX(Initial_Component_aggregator!H:H,MATCH(F420,Initial_Component_aggregator!B:B))),E420,INDEX(Initial_Component_aggregator!J:J,MATCH(J420,Initial_Component_aggregator!H:H))))</f>
        <v xml:space="preserve"> </v>
      </c>
      <c r="M420" t="str" cm="1">
        <f t="array" ref="M420">IF(F420=0," ",IF(ISBLANK(INDEX(Initial_Component_aggregator!H:H,MATCH(F420,Initial_Component_aggregator!B:B))),F420,INDEX(Initial_Component_aggregator!K:K,MATCH(J420,Initial_Component_aggregator!H:H))))</f>
        <v xml:space="preserve"> </v>
      </c>
    </row>
    <row r="421" spans="1:13" ht="36" customHeight="1">
      <c r="A421"/>
      <c r="B421"/>
      <c r="C421"/>
      <c r="D421"/>
      <c r="E421"/>
      <c r="F421"/>
      <c r="G421"/>
      <c r="H421" t="str">
        <f t="shared" si="6"/>
        <v xml:space="preserve"> </v>
      </c>
      <c r="I421" t="str" cm="1">
        <f t="array" ref="I421">IF(F421=0," ",IF(ISBLANK(INDEX(Initial_Component_aggregator!F:F,MATCH(F421,Initial_Component_aggregator!B:B,0))),"No change",INDEX(Initial_Component_aggregator!F:F,MATCH(F421,Initial_Component_aggregator!B:B,0))))</f>
        <v xml:space="preserve"> </v>
      </c>
      <c r="J421" t="str" cm="1">
        <f t="array" ref="J421">IF(F421=0," ",IF(ISBLANK(INDEX(Initial_Component_aggregator!H:H,MATCH(F421,Initial_Component_aggregator!B:B,0))),F421,INDEX(Initial_Component_aggregator!H:H,MATCH(F421,Initial_Component_aggregator!B:B,0))))</f>
        <v xml:space="preserve"> </v>
      </c>
      <c r="K421" t="str" cm="1">
        <f t="array" ref="K421">IF(F421=0," ",IF(ISBLANK(INDEX(Initial_Component_aggregator!H:H,MATCH(F421,Initial_Component_aggregator!B:B))),D421,INDEX(Initial_Component_aggregator!I:I,MATCH(J421,Initial_Component_aggregator!H:H))))</f>
        <v xml:space="preserve"> </v>
      </c>
      <c r="L421" t="str" cm="1">
        <f t="array" ref="L421">IF(F421=0," ",IF(ISBLANK(INDEX(Initial_Component_aggregator!H:H,MATCH(F421,Initial_Component_aggregator!B:B))),E421,INDEX(Initial_Component_aggregator!J:J,MATCH(J421,Initial_Component_aggregator!H:H))))</f>
        <v xml:space="preserve"> </v>
      </c>
      <c r="M421" t="str" cm="1">
        <f t="array" ref="M421">IF(F421=0," ",IF(ISBLANK(INDEX(Initial_Component_aggregator!H:H,MATCH(F421,Initial_Component_aggregator!B:B))),F421,INDEX(Initial_Component_aggregator!K:K,MATCH(J421,Initial_Component_aggregator!H:H))))</f>
        <v xml:space="preserve"> </v>
      </c>
    </row>
    <row r="422" spans="1:13" ht="36" customHeight="1">
      <c r="A422"/>
      <c r="B422"/>
      <c r="C422"/>
      <c r="D422"/>
      <c r="E422"/>
      <c r="F422"/>
      <c r="G422"/>
      <c r="H422" t="str">
        <f t="shared" si="6"/>
        <v xml:space="preserve"> </v>
      </c>
      <c r="I422" t="str" cm="1">
        <f t="array" ref="I422">IF(F422=0," ",IF(ISBLANK(INDEX(Initial_Component_aggregator!F:F,MATCH(F422,Initial_Component_aggregator!B:B,0))),"No change",INDEX(Initial_Component_aggregator!F:F,MATCH(F422,Initial_Component_aggregator!B:B,0))))</f>
        <v xml:space="preserve"> </v>
      </c>
      <c r="J422" t="str" cm="1">
        <f t="array" ref="J422">IF(F422=0," ",IF(ISBLANK(INDEX(Initial_Component_aggregator!H:H,MATCH(F422,Initial_Component_aggregator!B:B,0))),F422,INDEX(Initial_Component_aggregator!H:H,MATCH(F422,Initial_Component_aggregator!B:B,0))))</f>
        <v xml:space="preserve"> </v>
      </c>
      <c r="K422" t="str" cm="1">
        <f t="array" ref="K422">IF(F422=0," ",IF(ISBLANK(INDEX(Initial_Component_aggregator!H:H,MATCH(F422,Initial_Component_aggregator!B:B))),D422,INDEX(Initial_Component_aggregator!I:I,MATCH(J422,Initial_Component_aggregator!H:H))))</f>
        <v xml:space="preserve"> </v>
      </c>
      <c r="L422" t="str" cm="1">
        <f t="array" ref="L422">IF(F422=0," ",IF(ISBLANK(INDEX(Initial_Component_aggregator!H:H,MATCH(F422,Initial_Component_aggregator!B:B))),E422,INDEX(Initial_Component_aggregator!J:J,MATCH(J422,Initial_Component_aggregator!H:H))))</f>
        <v xml:space="preserve"> </v>
      </c>
      <c r="M422" t="str" cm="1">
        <f t="array" ref="M422">IF(F422=0," ",IF(ISBLANK(INDEX(Initial_Component_aggregator!H:H,MATCH(F422,Initial_Component_aggregator!B:B))),F422,INDEX(Initial_Component_aggregator!K:K,MATCH(J422,Initial_Component_aggregator!H:H))))</f>
        <v xml:space="preserve"> </v>
      </c>
    </row>
    <row r="423" spans="1:13" ht="36" customHeight="1">
      <c r="A423"/>
      <c r="B423"/>
      <c r="C423"/>
      <c r="D423"/>
      <c r="E423"/>
      <c r="F423"/>
      <c r="G423"/>
      <c r="H423" t="str">
        <f t="shared" si="6"/>
        <v xml:space="preserve"> </v>
      </c>
      <c r="I423" t="str" cm="1">
        <f t="array" ref="I423">IF(F423=0," ",IF(ISBLANK(INDEX(Initial_Component_aggregator!F:F,MATCH(F423,Initial_Component_aggregator!B:B,0))),"No change",INDEX(Initial_Component_aggregator!F:F,MATCH(F423,Initial_Component_aggregator!B:B,0))))</f>
        <v xml:space="preserve"> </v>
      </c>
      <c r="J423" t="str" cm="1">
        <f t="array" ref="J423">IF(F423=0," ",IF(ISBLANK(INDEX(Initial_Component_aggregator!H:H,MATCH(F423,Initial_Component_aggregator!B:B,0))),F423,INDEX(Initial_Component_aggregator!H:H,MATCH(F423,Initial_Component_aggregator!B:B,0))))</f>
        <v xml:space="preserve"> </v>
      </c>
      <c r="K423" t="str" cm="1">
        <f t="array" ref="K423">IF(F423=0," ",IF(ISBLANK(INDEX(Initial_Component_aggregator!H:H,MATCH(F423,Initial_Component_aggregator!B:B))),D423,INDEX(Initial_Component_aggregator!I:I,MATCH(J423,Initial_Component_aggregator!H:H))))</f>
        <v xml:space="preserve"> </v>
      </c>
      <c r="L423" t="str" cm="1">
        <f t="array" ref="L423">IF(F423=0," ",IF(ISBLANK(INDEX(Initial_Component_aggregator!H:H,MATCH(F423,Initial_Component_aggregator!B:B))),E423,INDEX(Initial_Component_aggregator!J:J,MATCH(J423,Initial_Component_aggregator!H:H))))</f>
        <v xml:space="preserve"> </v>
      </c>
      <c r="M423" t="str" cm="1">
        <f t="array" ref="M423">IF(F423=0," ",IF(ISBLANK(INDEX(Initial_Component_aggregator!H:H,MATCH(F423,Initial_Component_aggregator!B:B))),F423,INDEX(Initial_Component_aggregator!K:K,MATCH(J423,Initial_Component_aggregator!H:H))))</f>
        <v xml:space="preserve"> </v>
      </c>
    </row>
    <row r="424" spans="1:13" ht="36" customHeight="1">
      <c r="A424"/>
      <c r="B424"/>
      <c r="C424"/>
      <c r="D424"/>
      <c r="E424"/>
      <c r="F424"/>
      <c r="G424"/>
      <c r="H424" t="str">
        <f t="shared" si="6"/>
        <v xml:space="preserve"> </v>
      </c>
      <c r="I424" t="str" cm="1">
        <f t="array" ref="I424">IF(F424=0," ",IF(ISBLANK(INDEX(Initial_Component_aggregator!F:F,MATCH(F424,Initial_Component_aggregator!B:B,0))),"No change",INDEX(Initial_Component_aggregator!F:F,MATCH(F424,Initial_Component_aggregator!B:B,0))))</f>
        <v xml:space="preserve"> </v>
      </c>
      <c r="J424" t="str" cm="1">
        <f t="array" ref="J424">IF(F424=0," ",IF(ISBLANK(INDEX(Initial_Component_aggregator!H:H,MATCH(F424,Initial_Component_aggregator!B:B,0))),F424,INDEX(Initial_Component_aggregator!H:H,MATCH(F424,Initial_Component_aggregator!B:B,0))))</f>
        <v xml:space="preserve"> </v>
      </c>
      <c r="K424" t="str" cm="1">
        <f t="array" ref="K424">IF(F424=0," ",IF(ISBLANK(INDEX(Initial_Component_aggregator!H:H,MATCH(F424,Initial_Component_aggregator!B:B))),D424,INDEX(Initial_Component_aggregator!I:I,MATCH(J424,Initial_Component_aggregator!H:H))))</f>
        <v xml:space="preserve"> </v>
      </c>
      <c r="L424" t="str" cm="1">
        <f t="array" ref="L424">IF(F424=0," ",IF(ISBLANK(INDEX(Initial_Component_aggregator!H:H,MATCH(F424,Initial_Component_aggregator!B:B))),E424,INDEX(Initial_Component_aggregator!J:J,MATCH(J424,Initial_Component_aggregator!H:H))))</f>
        <v xml:space="preserve"> </v>
      </c>
      <c r="M424" t="str" cm="1">
        <f t="array" ref="M424">IF(F424=0," ",IF(ISBLANK(INDEX(Initial_Component_aggregator!H:H,MATCH(F424,Initial_Component_aggregator!B:B))),F424,INDEX(Initial_Component_aggregator!K:K,MATCH(J424,Initial_Component_aggregator!H:H))))</f>
        <v xml:space="preserve"> </v>
      </c>
    </row>
    <row r="425" spans="1:13" ht="36" customHeight="1">
      <c r="A425"/>
      <c r="B425"/>
      <c r="C425"/>
      <c r="D425"/>
      <c r="E425"/>
      <c r="F425"/>
      <c r="G425"/>
      <c r="H425" t="str">
        <f t="shared" si="6"/>
        <v xml:space="preserve"> </v>
      </c>
      <c r="I425" t="str" cm="1">
        <f t="array" ref="I425">IF(F425=0," ",IF(ISBLANK(INDEX(Initial_Component_aggregator!F:F,MATCH(F425,Initial_Component_aggregator!B:B,0))),"No change",INDEX(Initial_Component_aggregator!F:F,MATCH(F425,Initial_Component_aggregator!B:B,0))))</f>
        <v xml:space="preserve"> </v>
      </c>
      <c r="J425" t="str" cm="1">
        <f t="array" ref="J425">IF(F425=0," ",IF(ISBLANK(INDEX(Initial_Component_aggregator!H:H,MATCH(F425,Initial_Component_aggregator!B:B,0))),F425,INDEX(Initial_Component_aggregator!H:H,MATCH(F425,Initial_Component_aggregator!B:B,0))))</f>
        <v xml:space="preserve"> </v>
      </c>
      <c r="K425" t="str" cm="1">
        <f t="array" ref="K425">IF(F425=0," ",IF(ISBLANK(INDEX(Initial_Component_aggregator!H:H,MATCH(F425,Initial_Component_aggregator!B:B))),D425,INDEX(Initial_Component_aggregator!I:I,MATCH(J425,Initial_Component_aggregator!H:H))))</f>
        <v xml:space="preserve"> </v>
      </c>
      <c r="L425" t="str" cm="1">
        <f t="array" ref="L425">IF(F425=0," ",IF(ISBLANK(INDEX(Initial_Component_aggregator!H:H,MATCH(F425,Initial_Component_aggregator!B:B))),E425,INDEX(Initial_Component_aggregator!J:J,MATCH(J425,Initial_Component_aggregator!H:H))))</f>
        <v xml:space="preserve"> </v>
      </c>
      <c r="M425" t="str" cm="1">
        <f t="array" ref="M425">IF(F425=0," ",IF(ISBLANK(INDEX(Initial_Component_aggregator!H:H,MATCH(F425,Initial_Component_aggregator!B:B))),F425,INDEX(Initial_Component_aggregator!K:K,MATCH(J425,Initial_Component_aggregator!H:H))))</f>
        <v xml:space="preserve"> </v>
      </c>
    </row>
    <row r="426" spans="1:13" ht="36" customHeight="1">
      <c r="A426"/>
      <c r="B426"/>
      <c r="C426"/>
      <c r="D426"/>
      <c r="E426"/>
      <c r="F426"/>
      <c r="G426"/>
      <c r="H426" t="str">
        <f t="shared" si="6"/>
        <v xml:space="preserve"> </v>
      </c>
      <c r="I426" t="str" cm="1">
        <f t="array" ref="I426">IF(F426=0," ",IF(ISBLANK(INDEX(Initial_Component_aggregator!F:F,MATCH(F426,Initial_Component_aggregator!B:B,0))),"No change",INDEX(Initial_Component_aggregator!F:F,MATCH(F426,Initial_Component_aggregator!B:B,0))))</f>
        <v xml:space="preserve"> </v>
      </c>
      <c r="J426" t="str" cm="1">
        <f t="array" ref="J426">IF(F426=0," ",IF(ISBLANK(INDEX(Initial_Component_aggregator!H:H,MATCH(F426,Initial_Component_aggregator!B:B,0))),F426,INDEX(Initial_Component_aggregator!H:H,MATCH(F426,Initial_Component_aggregator!B:B,0))))</f>
        <v xml:space="preserve"> </v>
      </c>
      <c r="K426" t="str" cm="1">
        <f t="array" ref="K426">IF(F426=0," ",IF(ISBLANK(INDEX(Initial_Component_aggregator!H:H,MATCH(F426,Initial_Component_aggregator!B:B))),D426,INDEX(Initial_Component_aggregator!I:I,MATCH(J426,Initial_Component_aggregator!H:H))))</f>
        <v xml:space="preserve"> </v>
      </c>
      <c r="L426" t="str" cm="1">
        <f t="array" ref="L426">IF(F426=0," ",IF(ISBLANK(INDEX(Initial_Component_aggregator!H:H,MATCH(F426,Initial_Component_aggregator!B:B))),E426,INDEX(Initial_Component_aggregator!J:J,MATCH(J426,Initial_Component_aggregator!H:H))))</f>
        <v xml:space="preserve"> </v>
      </c>
      <c r="M426" t="str" cm="1">
        <f t="array" ref="M426">IF(F426=0," ",IF(ISBLANK(INDEX(Initial_Component_aggregator!H:H,MATCH(F426,Initial_Component_aggregator!B:B))),F426,INDEX(Initial_Component_aggregator!K:K,MATCH(J426,Initial_Component_aggregator!H:H))))</f>
        <v xml:space="preserve"> </v>
      </c>
    </row>
    <row r="427" spans="1:13" ht="36" customHeight="1">
      <c r="A427"/>
      <c r="B427"/>
      <c r="C427"/>
      <c r="D427"/>
      <c r="E427"/>
      <c r="F427"/>
      <c r="G427"/>
      <c r="H427" t="str">
        <f t="shared" si="6"/>
        <v xml:space="preserve"> </v>
      </c>
      <c r="I427" t="str" cm="1">
        <f t="array" ref="I427">IF(F427=0," ",IF(ISBLANK(INDEX(Initial_Component_aggregator!F:F,MATCH(F427,Initial_Component_aggregator!B:B,0))),"No change",INDEX(Initial_Component_aggregator!F:F,MATCH(F427,Initial_Component_aggregator!B:B,0))))</f>
        <v xml:space="preserve"> </v>
      </c>
      <c r="J427" t="str" cm="1">
        <f t="array" ref="J427">IF(F427=0," ",IF(ISBLANK(INDEX(Initial_Component_aggregator!H:H,MATCH(F427,Initial_Component_aggregator!B:B,0))),F427,INDEX(Initial_Component_aggregator!H:H,MATCH(F427,Initial_Component_aggregator!B:B,0))))</f>
        <v xml:space="preserve"> </v>
      </c>
      <c r="K427" t="str" cm="1">
        <f t="array" ref="K427">IF(F427=0," ",IF(ISBLANK(INDEX(Initial_Component_aggregator!H:H,MATCH(F427,Initial_Component_aggregator!B:B))),D427,INDEX(Initial_Component_aggregator!I:I,MATCH(J427,Initial_Component_aggregator!H:H))))</f>
        <v xml:space="preserve"> </v>
      </c>
      <c r="L427" t="str" cm="1">
        <f t="array" ref="L427">IF(F427=0," ",IF(ISBLANK(INDEX(Initial_Component_aggregator!H:H,MATCH(F427,Initial_Component_aggregator!B:B))),E427,INDEX(Initial_Component_aggregator!J:J,MATCH(J427,Initial_Component_aggregator!H:H))))</f>
        <v xml:space="preserve"> </v>
      </c>
      <c r="M427" t="str" cm="1">
        <f t="array" ref="M427">IF(F427=0," ",IF(ISBLANK(INDEX(Initial_Component_aggregator!H:H,MATCH(F427,Initial_Component_aggregator!B:B))),F427,INDEX(Initial_Component_aggregator!K:K,MATCH(J427,Initial_Component_aggregator!H:H))))</f>
        <v xml:space="preserve"> </v>
      </c>
    </row>
    <row r="428" spans="1:13" ht="36" customHeight="1">
      <c r="A428"/>
      <c r="B428"/>
      <c r="C428"/>
      <c r="D428"/>
      <c r="E428"/>
      <c r="F428"/>
      <c r="G428"/>
      <c r="H428" t="str">
        <f t="shared" si="6"/>
        <v xml:space="preserve"> </v>
      </c>
      <c r="I428" t="str" cm="1">
        <f t="array" ref="I428">IF(F428=0," ",IF(ISBLANK(INDEX(Initial_Component_aggregator!F:F,MATCH(F428,Initial_Component_aggregator!B:B,0))),"No change",INDEX(Initial_Component_aggregator!F:F,MATCH(F428,Initial_Component_aggregator!B:B,0))))</f>
        <v xml:space="preserve"> </v>
      </c>
      <c r="J428" t="str" cm="1">
        <f t="array" ref="J428">IF(F428=0," ",IF(ISBLANK(INDEX(Initial_Component_aggregator!H:H,MATCH(F428,Initial_Component_aggregator!B:B,0))),F428,INDEX(Initial_Component_aggregator!H:H,MATCH(F428,Initial_Component_aggregator!B:B,0))))</f>
        <v xml:space="preserve"> </v>
      </c>
      <c r="K428" t="str" cm="1">
        <f t="array" ref="K428">IF(F428=0," ",IF(ISBLANK(INDEX(Initial_Component_aggregator!H:H,MATCH(F428,Initial_Component_aggregator!B:B))),D428,INDEX(Initial_Component_aggregator!I:I,MATCH(J428,Initial_Component_aggregator!H:H))))</f>
        <v xml:space="preserve"> </v>
      </c>
      <c r="L428" t="str" cm="1">
        <f t="array" ref="L428">IF(F428=0," ",IF(ISBLANK(INDEX(Initial_Component_aggregator!H:H,MATCH(F428,Initial_Component_aggregator!B:B))),E428,INDEX(Initial_Component_aggregator!J:J,MATCH(J428,Initial_Component_aggregator!H:H))))</f>
        <v xml:space="preserve"> </v>
      </c>
      <c r="M428" t="str" cm="1">
        <f t="array" ref="M428">IF(F428=0," ",IF(ISBLANK(INDEX(Initial_Component_aggregator!H:H,MATCH(F428,Initial_Component_aggregator!B:B))),F428,INDEX(Initial_Component_aggregator!K:K,MATCH(J428,Initial_Component_aggregator!H:H))))</f>
        <v xml:space="preserve"> </v>
      </c>
    </row>
    <row r="429" spans="1:13" ht="36" customHeight="1">
      <c r="A429"/>
      <c r="B429"/>
      <c r="C429"/>
      <c r="D429"/>
      <c r="E429"/>
      <c r="F429"/>
      <c r="G429"/>
      <c r="H429" t="str">
        <f t="shared" si="6"/>
        <v xml:space="preserve"> </v>
      </c>
      <c r="I429" t="str" cm="1">
        <f t="array" ref="I429">IF(F429=0," ",IF(ISBLANK(INDEX(Initial_Component_aggregator!F:F,MATCH(F429,Initial_Component_aggregator!B:B,0))),"No change",INDEX(Initial_Component_aggregator!F:F,MATCH(F429,Initial_Component_aggregator!B:B,0))))</f>
        <v xml:space="preserve"> </v>
      </c>
      <c r="J429" t="str" cm="1">
        <f t="array" ref="J429">IF(F429=0," ",IF(ISBLANK(INDEX(Initial_Component_aggregator!H:H,MATCH(F429,Initial_Component_aggregator!B:B,0))),F429,INDEX(Initial_Component_aggregator!H:H,MATCH(F429,Initial_Component_aggregator!B:B,0))))</f>
        <v xml:space="preserve"> </v>
      </c>
      <c r="K429" t="str" cm="1">
        <f t="array" ref="K429">IF(F429=0," ",IF(ISBLANK(INDEX(Initial_Component_aggregator!H:H,MATCH(F429,Initial_Component_aggregator!B:B))),D429,INDEX(Initial_Component_aggregator!I:I,MATCH(J429,Initial_Component_aggregator!H:H))))</f>
        <v xml:space="preserve"> </v>
      </c>
      <c r="L429" t="str" cm="1">
        <f t="array" ref="L429">IF(F429=0," ",IF(ISBLANK(INDEX(Initial_Component_aggregator!H:H,MATCH(F429,Initial_Component_aggregator!B:B))),E429,INDEX(Initial_Component_aggregator!J:J,MATCH(J429,Initial_Component_aggregator!H:H))))</f>
        <v xml:space="preserve"> </v>
      </c>
      <c r="M429" t="str" cm="1">
        <f t="array" ref="M429">IF(F429=0," ",IF(ISBLANK(INDEX(Initial_Component_aggregator!H:H,MATCH(F429,Initial_Component_aggregator!B:B))),F429,INDEX(Initial_Component_aggregator!K:K,MATCH(J429,Initial_Component_aggregator!H:H))))</f>
        <v xml:space="preserve"> </v>
      </c>
    </row>
    <row r="430" spans="1:13" ht="36" customHeight="1">
      <c r="A430"/>
      <c r="B430"/>
      <c r="C430"/>
      <c r="D430"/>
      <c r="E430"/>
      <c r="F430"/>
      <c r="G430"/>
      <c r="H430" t="str">
        <f t="shared" si="6"/>
        <v xml:space="preserve"> </v>
      </c>
      <c r="I430" t="str" cm="1">
        <f t="array" ref="I430">IF(F430=0," ",IF(ISBLANK(INDEX(Initial_Component_aggregator!F:F,MATCH(F430,Initial_Component_aggregator!B:B,0))),"No change",INDEX(Initial_Component_aggregator!F:F,MATCH(F430,Initial_Component_aggregator!B:B,0))))</f>
        <v xml:space="preserve"> </v>
      </c>
      <c r="J430" t="str" cm="1">
        <f t="array" ref="J430">IF(F430=0," ",IF(ISBLANK(INDEX(Initial_Component_aggregator!H:H,MATCH(F430,Initial_Component_aggregator!B:B,0))),F430,INDEX(Initial_Component_aggregator!H:H,MATCH(F430,Initial_Component_aggregator!B:B,0))))</f>
        <v xml:space="preserve"> </v>
      </c>
      <c r="K430" t="str" cm="1">
        <f t="array" ref="K430">IF(F430=0," ",IF(ISBLANK(INDEX(Initial_Component_aggregator!H:H,MATCH(F430,Initial_Component_aggregator!B:B))),D430,INDEX(Initial_Component_aggregator!I:I,MATCH(J430,Initial_Component_aggregator!H:H))))</f>
        <v xml:space="preserve"> </v>
      </c>
      <c r="L430" t="str" cm="1">
        <f t="array" ref="L430">IF(F430=0," ",IF(ISBLANK(INDEX(Initial_Component_aggregator!H:H,MATCH(F430,Initial_Component_aggregator!B:B))),E430,INDEX(Initial_Component_aggregator!J:J,MATCH(J430,Initial_Component_aggregator!H:H))))</f>
        <v xml:space="preserve"> </v>
      </c>
      <c r="M430" t="str" cm="1">
        <f t="array" ref="M430">IF(F430=0," ",IF(ISBLANK(INDEX(Initial_Component_aggregator!H:H,MATCH(F430,Initial_Component_aggregator!B:B))),F430,INDEX(Initial_Component_aggregator!K:K,MATCH(J430,Initial_Component_aggregator!H:H))))</f>
        <v xml:space="preserve"> </v>
      </c>
    </row>
    <row r="431" spans="1:13" ht="36" customHeight="1">
      <c r="A431"/>
      <c r="B431"/>
      <c r="C431"/>
      <c r="D431"/>
      <c r="E431"/>
      <c r="F431"/>
      <c r="G431"/>
      <c r="H431" t="str">
        <f t="shared" si="6"/>
        <v xml:space="preserve"> </v>
      </c>
      <c r="I431" t="str" cm="1">
        <f t="array" ref="I431">IF(F431=0," ",IF(ISBLANK(INDEX(Initial_Component_aggregator!F:F,MATCH(F431,Initial_Component_aggregator!B:B,0))),"No change",INDEX(Initial_Component_aggregator!F:F,MATCH(F431,Initial_Component_aggregator!B:B,0))))</f>
        <v xml:space="preserve"> </v>
      </c>
      <c r="J431" t="str" cm="1">
        <f t="array" ref="J431">IF(F431=0," ",IF(ISBLANK(INDEX(Initial_Component_aggregator!H:H,MATCH(F431,Initial_Component_aggregator!B:B,0))),F431,INDEX(Initial_Component_aggregator!H:H,MATCH(F431,Initial_Component_aggregator!B:B,0))))</f>
        <v xml:space="preserve"> </v>
      </c>
      <c r="K431" t="str" cm="1">
        <f t="array" ref="K431">IF(F431=0," ",IF(ISBLANK(INDEX(Initial_Component_aggregator!H:H,MATCH(F431,Initial_Component_aggregator!B:B))),D431,INDEX(Initial_Component_aggregator!I:I,MATCH(J431,Initial_Component_aggregator!H:H))))</f>
        <v xml:space="preserve"> </v>
      </c>
      <c r="L431" t="str" cm="1">
        <f t="array" ref="L431">IF(F431=0," ",IF(ISBLANK(INDEX(Initial_Component_aggregator!H:H,MATCH(F431,Initial_Component_aggregator!B:B))),E431,INDEX(Initial_Component_aggregator!J:J,MATCH(J431,Initial_Component_aggregator!H:H))))</f>
        <v xml:space="preserve"> </v>
      </c>
      <c r="M431" t="str" cm="1">
        <f t="array" ref="M431">IF(F431=0," ",IF(ISBLANK(INDEX(Initial_Component_aggregator!H:H,MATCH(F431,Initial_Component_aggregator!B:B))),F431,INDEX(Initial_Component_aggregator!K:K,MATCH(J431,Initial_Component_aggregator!H:H))))</f>
        <v xml:space="preserve"> </v>
      </c>
    </row>
    <row r="432" spans="1:13" ht="36" customHeight="1">
      <c r="A432"/>
      <c r="B432"/>
      <c r="C432"/>
      <c r="D432"/>
      <c r="E432"/>
      <c r="F432"/>
      <c r="G432"/>
      <c r="H432" t="str">
        <f t="shared" si="6"/>
        <v xml:space="preserve"> </v>
      </c>
      <c r="I432" t="str" cm="1">
        <f t="array" ref="I432">IF(F432=0," ",IF(ISBLANK(INDEX(Initial_Component_aggregator!F:F,MATCH(F432,Initial_Component_aggregator!B:B,0))),"No change",INDEX(Initial_Component_aggregator!F:F,MATCH(F432,Initial_Component_aggregator!B:B,0))))</f>
        <v xml:space="preserve"> </v>
      </c>
      <c r="J432" t="str" cm="1">
        <f t="array" ref="J432">IF(F432=0," ",IF(ISBLANK(INDEX(Initial_Component_aggregator!H:H,MATCH(F432,Initial_Component_aggregator!B:B,0))),F432,INDEX(Initial_Component_aggregator!H:H,MATCH(F432,Initial_Component_aggregator!B:B,0))))</f>
        <v xml:space="preserve"> </v>
      </c>
      <c r="K432" t="str" cm="1">
        <f t="array" ref="K432">IF(F432=0," ",IF(ISBLANK(INDEX(Initial_Component_aggregator!H:H,MATCH(F432,Initial_Component_aggregator!B:B))),D432,INDEX(Initial_Component_aggregator!I:I,MATCH(J432,Initial_Component_aggregator!H:H))))</f>
        <v xml:space="preserve"> </v>
      </c>
      <c r="L432" t="str" cm="1">
        <f t="array" ref="L432">IF(F432=0," ",IF(ISBLANK(INDEX(Initial_Component_aggregator!H:H,MATCH(F432,Initial_Component_aggregator!B:B))),E432,INDEX(Initial_Component_aggregator!J:J,MATCH(J432,Initial_Component_aggregator!H:H))))</f>
        <v xml:space="preserve"> </v>
      </c>
      <c r="M432" t="str" cm="1">
        <f t="array" ref="M432">IF(F432=0," ",IF(ISBLANK(INDEX(Initial_Component_aggregator!H:H,MATCH(F432,Initial_Component_aggregator!B:B))),F432,INDEX(Initial_Component_aggregator!K:K,MATCH(J432,Initial_Component_aggregator!H:H))))</f>
        <v xml:space="preserve"> </v>
      </c>
    </row>
    <row r="433" spans="1:13" ht="36" customHeight="1">
      <c r="A433"/>
      <c r="B433"/>
      <c r="C433"/>
      <c r="D433"/>
      <c r="E433"/>
      <c r="F433"/>
      <c r="G433"/>
      <c r="H433" t="str">
        <f t="shared" si="6"/>
        <v xml:space="preserve"> </v>
      </c>
      <c r="I433" t="str" cm="1">
        <f t="array" ref="I433">IF(F433=0," ",IF(ISBLANK(INDEX(Initial_Component_aggregator!F:F,MATCH(F433,Initial_Component_aggregator!B:B,0))),"No change",INDEX(Initial_Component_aggregator!F:F,MATCH(F433,Initial_Component_aggregator!B:B,0))))</f>
        <v xml:space="preserve"> </v>
      </c>
      <c r="J433" t="str" cm="1">
        <f t="array" ref="J433">IF(F433=0," ",IF(ISBLANK(INDEX(Initial_Component_aggregator!H:H,MATCH(F433,Initial_Component_aggregator!B:B,0))),F433,INDEX(Initial_Component_aggregator!H:H,MATCH(F433,Initial_Component_aggregator!B:B,0))))</f>
        <v xml:space="preserve"> </v>
      </c>
      <c r="K433" t="str" cm="1">
        <f t="array" ref="K433">IF(F433=0," ",IF(ISBLANK(INDEX(Initial_Component_aggregator!H:H,MATCH(F433,Initial_Component_aggregator!B:B))),D433,INDEX(Initial_Component_aggregator!I:I,MATCH(J433,Initial_Component_aggregator!H:H))))</f>
        <v xml:space="preserve"> </v>
      </c>
      <c r="L433" t="str" cm="1">
        <f t="array" ref="L433">IF(F433=0," ",IF(ISBLANK(INDEX(Initial_Component_aggregator!H:H,MATCH(F433,Initial_Component_aggregator!B:B))),E433,INDEX(Initial_Component_aggregator!J:J,MATCH(J433,Initial_Component_aggregator!H:H))))</f>
        <v xml:space="preserve"> </v>
      </c>
      <c r="M433" t="str" cm="1">
        <f t="array" ref="M433">IF(F433=0," ",IF(ISBLANK(INDEX(Initial_Component_aggregator!H:H,MATCH(F433,Initial_Component_aggregator!B:B))),F433,INDEX(Initial_Component_aggregator!K:K,MATCH(J433,Initial_Component_aggregator!H:H))))</f>
        <v xml:space="preserve"> </v>
      </c>
    </row>
    <row r="434" spans="1:13" ht="36" customHeight="1">
      <c r="A434"/>
      <c r="B434"/>
      <c r="C434"/>
      <c r="D434"/>
      <c r="E434"/>
      <c r="F434"/>
      <c r="G434"/>
      <c r="H434" t="str">
        <f t="shared" si="6"/>
        <v xml:space="preserve"> </v>
      </c>
      <c r="I434" t="str" cm="1">
        <f t="array" ref="I434">IF(F434=0," ",IF(ISBLANK(INDEX(Initial_Component_aggregator!F:F,MATCH(F434,Initial_Component_aggregator!B:B,0))),"No change",INDEX(Initial_Component_aggregator!F:F,MATCH(F434,Initial_Component_aggregator!B:B,0))))</f>
        <v xml:space="preserve"> </v>
      </c>
      <c r="J434" t="str" cm="1">
        <f t="array" ref="J434">IF(F434=0," ",IF(ISBLANK(INDEX(Initial_Component_aggregator!H:H,MATCH(F434,Initial_Component_aggregator!B:B,0))),F434,INDEX(Initial_Component_aggregator!H:H,MATCH(F434,Initial_Component_aggregator!B:B,0))))</f>
        <v xml:space="preserve"> </v>
      </c>
      <c r="K434" t="str" cm="1">
        <f t="array" ref="K434">IF(F434=0," ",IF(ISBLANK(INDEX(Initial_Component_aggregator!H:H,MATCH(F434,Initial_Component_aggregator!B:B))),D434,INDEX(Initial_Component_aggregator!I:I,MATCH(J434,Initial_Component_aggregator!H:H))))</f>
        <v xml:space="preserve"> </v>
      </c>
      <c r="L434" t="str" cm="1">
        <f t="array" ref="L434">IF(F434=0," ",IF(ISBLANK(INDEX(Initial_Component_aggregator!H:H,MATCH(F434,Initial_Component_aggregator!B:B))),E434,INDEX(Initial_Component_aggregator!J:J,MATCH(J434,Initial_Component_aggregator!H:H))))</f>
        <v xml:space="preserve"> </v>
      </c>
      <c r="M434" t="str" cm="1">
        <f t="array" ref="M434">IF(F434=0," ",IF(ISBLANK(INDEX(Initial_Component_aggregator!H:H,MATCH(F434,Initial_Component_aggregator!B:B))),F434,INDEX(Initial_Component_aggregator!K:K,MATCH(J434,Initial_Component_aggregator!H:H))))</f>
        <v xml:space="preserve"> </v>
      </c>
    </row>
    <row r="435" spans="1:13" ht="36" customHeight="1">
      <c r="A435"/>
      <c r="B435"/>
      <c r="C435"/>
      <c r="D435"/>
      <c r="E435"/>
      <c r="F435"/>
      <c r="G435"/>
      <c r="H435" t="str">
        <f t="shared" si="6"/>
        <v xml:space="preserve"> </v>
      </c>
      <c r="I435" t="str" cm="1">
        <f t="array" ref="I435">IF(F435=0," ",IF(ISBLANK(INDEX(Initial_Component_aggregator!F:F,MATCH(F435,Initial_Component_aggregator!B:B,0))),"No change",INDEX(Initial_Component_aggregator!F:F,MATCH(F435,Initial_Component_aggregator!B:B,0))))</f>
        <v xml:space="preserve"> </v>
      </c>
      <c r="J435" t="str" cm="1">
        <f t="array" ref="J435">IF(F435=0," ",IF(ISBLANK(INDEX(Initial_Component_aggregator!H:H,MATCH(F435,Initial_Component_aggregator!B:B,0))),F435,INDEX(Initial_Component_aggregator!H:H,MATCH(F435,Initial_Component_aggregator!B:B,0))))</f>
        <v xml:space="preserve"> </v>
      </c>
      <c r="K435" t="str" cm="1">
        <f t="array" ref="K435">IF(F435=0," ",IF(ISBLANK(INDEX(Initial_Component_aggregator!H:H,MATCH(F435,Initial_Component_aggregator!B:B))),D435,INDEX(Initial_Component_aggregator!I:I,MATCH(J435,Initial_Component_aggregator!H:H))))</f>
        <v xml:space="preserve"> </v>
      </c>
      <c r="L435" t="str" cm="1">
        <f t="array" ref="L435">IF(F435=0," ",IF(ISBLANK(INDEX(Initial_Component_aggregator!H:H,MATCH(F435,Initial_Component_aggregator!B:B))),E435,INDEX(Initial_Component_aggregator!J:J,MATCH(J435,Initial_Component_aggregator!H:H))))</f>
        <v xml:space="preserve"> </v>
      </c>
      <c r="M435" t="str" cm="1">
        <f t="array" ref="M435">IF(F435=0," ",IF(ISBLANK(INDEX(Initial_Component_aggregator!H:H,MATCH(F435,Initial_Component_aggregator!B:B))),F435,INDEX(Initial_Component_aggregator!K:K,MATCH(J435,Initial_Component_aggregator!H:H))))</f>
        <v xml:space="preserve"> </v>
      </c>
    </row>
    <row r="436" spans="1:13" ht="36" customHeight="1">
      <c r="A436"/>
      <c r="B436"/>
      <c r="C436"/>
      <c r="D436"/>
      <c r="E436"/>
      <c r="F436"/>
      <c r="G436"/>
      <c r="H436" t="str">
        <f t="shared" si="6"/>
        <v xml:space="preserve"> </v>
      </c>
      <c r="I436" t="str" cm="1">
        <f t="array" ref="I436">IF(F436=0," ",IF(ISBLANK(INDEX(Initial_Component_aggregator!F:F,MATCH(F436,Initial_Component_aggregator!B:B,0))),"No change",INDEX(Initial_Component_aggregator!F:F,MATCH(F436,Initial_Component_aggregator!B:B,0))))</f>
        <v xml:space="preserve"> </v>
      </c>
      <c r="J436" t="str" cm="1">
        <f t="array" ref="J436">IF(F436=0," ",IF(ISBLANK(INDEX(Initial_Component_aggregator!H:H,MATCH(F436,Initial_Component_aggregator!B:B,0))),F436,INDEX(Initial_Component_aggregator!H:H,MATCH(F436,Initial_Component_aggregator!B:B,0))))</f>
        <v xml:space="preserve"> </v>
      </c>
      <c r="K436" t="str" cm="1">
        <f t="array" ref="K436">IF(F436=0," ",IF(ISBLANK(INDEX(Initial_Component_aggregator!H:H,MATCH(F436,Initial_Component_aggregator!B:B))),D436,INDEX(Initial_Component_aggregator!I:I,MATCH(J436,Initial_Component_aggregator!H:H))))</f>
        <v xml:space="preserve"> </v>
      </c>
      <c r="L436" t="str" cm="1">
        <f t="array" ref="L436">IF(F436=0," ",IF(ISBLANK(INDEX(Initial_Component_aggregator!H:H,MATCH(F436,Initial_Component_aggregator!B:B))),E436,INDEX(Initial_Component_aggregator!J:J,MATCH(J436,Initial_Component_aggregator!H:H))))</f>
        <v xml:space="preserve"> </v>
      </c>
      <c r="M436" t="str" cm="1">
        <f t="array" ref="M436">IF(F436=0," ",IF(ISBLANK(INDEX(Initial_Component_aggregator!H:H,MATCH(F436,Initial_Component_aggregator!B:B))),F436,INDEX(Initial_Component_aggregator!K:K,MATCH(J436,Initial_Component_aggregator!H:H))))</f>
        <v xml:space="preserve"> </v>
      </c>
    </row>
    <row r="437" spans="1:13" ht="36" customHeight="1">
      <c r="A437"/>
      <c r="B437"/>
      <c r="C437"/>
      <c r="D437"/>
      <c r="E437"/>
      <c r="F437"/>
      <c r="G437"/>
      <c r="H437" t="str">
        <f t="shared" si="6"/>
        <v xml:space="preserve"> </v>
      </c>
      <c r="I437" t="str" cm="1">
        <f t="array" ref="I437">IF(F437=0," ",IF(ISBLANK(INDEX(Initial_Component_aggregator!F:F,MATCH(F437,Initial_Component_aggregator!B:B,0))),"No change",INDEX(Initial_Component_aggregator!F:F,MATCH(F437,Initial_Component_aggregator!B:B,0))))</f>
        <v xml:space="preserve"> </v>
      </c>
      <c r="J437" t="str" cm="1">
        <f t="array" ref="J437">IF(F437=0," ",IF(ISBLANK(INDEX(Initial_Component_aggregator!H:H,MATCH(F437,Initial_Component_aggregator!B:B,0))),F437,INDEX(Initial_Component_aggregator!H:H,MATCH(F437,Initial_Component_aggregator!B:B,0))))</f>
        <v xml:space="preserve"> </v>
      </c>
      <c r="K437" t="str" cm="1">
        <f t="array" ref="K437">IF(F437=0," ",IF(ISBLANK(INDEX(Initial_Component_aggregator!H:H,MATCH(F437,Initial_Component_aggregator!B:B))),D437,INDEX(Initial_Component_aggregator!I:I,MATCH(J437,Initial_Component_aggregator!H:H))))</f>
        <v xml:space="preserve"> </v>
      </c>
      <c r="L437" t="str" cm="1">
        <f t="array" ref="L437">IF(F437=0," ",IF(ISBLANK(INDEX(Initial_Component_aggregator!H:H,MATCH(F437,Initial_Component_aggregator!B:B))),E437,INDEX(Initial_Component_aggregator!J:J,MATCH(J437,Initial_Component_aggregator!H:H))))</f>
        <v xml:space="preserve"> </v>
      </c>
      <c r="M437" t="str" cm="1">
        <f t="array" ref="M437">IF(F437=0," ",IF(ISBLANK(INDEX(Initial_Component_aggregator!H:H,MATCH(F437,Initial_Component_aggregator!B:B))),F437,INDEX(Initial_Component_aggregator!K:K,MATCH(J437,Initial_Component_aggregator!H:H))))</f>
        <v xml:space="preserve"> </v>
      </c>
    </row>
    <row r="438" spans="1:13" ht="36" customHeight="1">
      <c r="A438"/>
      <c r="B438"/>
      <c r="C438"/>
      <c r="D438"/>
      <c r="E438"/>
      <c r="F438"/>
      <c r="G438"/>
      <c r="H438" t="str">
        <f t="shared" si="6"/>
        <v xml:space="preserve"> </v>
      </c>
      <c r="I438" t="str" cm="1">
        <f t="array" ref="I438">IF(F438=0," ",IF(ISBLANK(INDEX(Initial_Component_aggregator!F:F,MATCH(F438,Initial_Component_aggregator!B:B,0))),"No change",INDEX(Initial_Component_aggregator!F:F,MATCH(F438,Initial_Component_aggregator!B:B,0))))</f>
        <v xml:space="preserve"> </v>
      </c>
      <c r="J438" t="str" cm="1">
        <f t="array" ref="J438">IF(F438=0," ",IF(ISBLANK(INDEX(Initial_Component_aggregator!H:H,MATCH(F438,Initial_Component_aggregator!B:B,0))),F438,INDEX(Initial_Component_aggregator!H:H,MATCH(F438,Initial_Component_aggregator!B:B,0))))</f>
        <v xml:space="preserve"> </v>
      </c>
      <c r="K438" t="str" cm="1">
        <f t="array" ref="K438">IF(F438=0," ",IF(ISBLANK(INDEX(Initial_Component_aggregator!H:H,MATCH(F438,Initial_Component_aggregator!B:B))),D438,INDEX(Initial_Component_aggregator!I:I,MATCH(J438,Initial_Component_aggregator!H:H))))</f>
        <v xml:space="preserve"> </v>
      </c>
      <c r="L438" t="str" cm="1">
        <f t="array" ref="L438">IF(F438=0," ",IF(ISBLANK(INDEX(Initial_Component_aggregator!H:H,MATCH(F438,Initial_Component_aggregator!B:B))),E438,INDEX(Initial_Component_aggregator!J:J,MATCH(J438,Initial_Component_aggregator!H:H))))</f>
        <v xml:space="preserve"> </v>
      </c>
      <c r="M438" t="str" cm="1">
        <f t="array" ref="M438">IF(F438=0," ",IF(ISBLANK(INDEX(Initial_Component_aggregator!H:H,MATCH(F438,Initial_Component_aggregator!B:B))),F438,INDEX(Initial_Component_aggregator!K:K,MATCH(J438,Initial_Component_aggregator!H:H))))</f>
        <v xml:space="preserve"> </v>
      </c>
    </row>
    <row r="439" spans="1:13" ht="36" customHeight="1">
      <c r="A439"/>
      <c r="B439"/>
      <c r="C439"/>
      <c r="D439"/>
      <c r="E439"/>
      <c r="F439"/>
      <c r="G439"/>
      <c r="H439" t="str">
        <f t="shared" si="6"/>
        <v xml:space="preserve"> </v>
      </c>
      <c r="I439" t="str" cm="1">
        <f t="array" ref="I439">IF(F439=0," ",IF(ISBLANK(INDEX(Initial_Component_aggregator!F:F,MATCH(F439,Initial_Component_aggregator!B:B,0))),"No change",INDEX(Initial_Component_aggregator!F:F,MATCH(F439,Initial_Component_aggregator!B:B,0))))</f>
        <v xml:space="preserve"> </v>
      </c>
      <c r="J439" t="str" cm="1">
        <f t="array" ref="J439">IF(F439=0," ",IF(ISBLANK(INDEX(Initial_Component_aggregator!H:H,MATCH(F439,Initial_Component_aggregator!B:B,0))),F439,INDEX(Initial_Component_aggregator!H:H,MATCH(F439,Initial_Component_aggregator!B:B,0))))</f>
        <v xml:space="preserve"> </v>
      </c>
      <c r="K439" t="str" cm="1">
        <f t="array" ref="K439">IF(F439=0," ",IF(ISBLANK(INDEX(Initial_Component_aggregator!H:H,MATCH(F439,Initial_Component_aggregator!B:B))),D439,INDEX(Initial_Component_aggregator!I:I,MATCH(J439,Initial_Component_aggregator!H:H))))</f>
        <v xml:space="preserve"> </v>
      </c>
      <c r="L439" t="str" cm="1">
        <f t="array" ref="L439">IF(F439=0," ",IF(ISBLANK(INDEX(Initial_Component_aggregator!H:H,MATCH(F439,Initial_Component_aggregator!B:B))),E439,INDEX(Initial_Component_aggregator!J:J,MATCH(J439,Initial_Component_aggregator!H:H))))</f>
        <v xml:space="preserve"> </v>
      </c>
      <c r="M439" t="str" cm="1">
        <f t="array" ref="M439">IF(F439=0," ",IF(ISBLANK(INDEX(Initial_Component_aggregator!H:H,MATCH(F439,Initial_Component_aggregator!B:B))),F439,INDEX(Initial_Component_aggregator!K:K,MATCH(J439,Initial_Component_aggregator!H:H))))</f>
        <v xml:space="preserve"> </v>
      </c>
    </row>
    <row r="440" spans="1:13" ht="36" customHeight="1">
      <c r="A440"/>
      <c r="B440"/>
      <c r="C440"/>
      <c r="D440"/>
      <c r="E440"/>
      <c r="F440"/>
      <c r="G440"/>
      <c r="H440" t="str">
        <f t="shared" si="6"/>
        <v xml:space="preserve"> </v>
      </c>
      <c r="I440" t="str" cm="1">
        <f t="array" ref="I440">IF(F440=0," ",IF(ISBLANK(INDEX(Initial_Component_aggregator!F:F,MATCH(F440,Initial_Component_aggregator!B:B,0))),"No change",INDEX(Initial_Component_aggregator!F:F,MATCH(F440,Initial_Component_aggregator!B:B,0))))</f>
        <v xml:space="preserve"> </v>
      </c>
      <c r="J440" t="str" cm="1">
        <f t="array" ref="J440">IF(F440=0," ",IF(ISBLANK(INDEX(Initial_Component_aggregator!H:H,MATCH(F440,Initial_Component_aggregator!B:B,0))),F440,INDEX(Initial_Component_aggregator!H:H,MATCH(F440,Initial_Component_aggregator!B:B,0))))</f>
        <v xml:space="preserve"> </v>
      </c>
      <c r="K440" t="str" cm="1">
        <f t="array" ref="K440">IF(F440=0," ",IF(ISBLANK(INDEX(Initial_Component_aggregator!H:H,MATCH(F440,Initial_Component_aggregator!B:B))),D440,INDEX(Initial_Component_aggregator!I:I,MATCH(J440,Initial_Component_aggregator!H:H))))</f>
        <v xml:space="preserve"> </v>
      </c>
      <c r="L440" t="str" cm="1">
        <f t="array" ref="L440">IF(F440=0," ",IF(ISBLANK(INDEX(Initial_Component_aggregator!H:H,MATCH(F440,Initial_Component_aggregator!B:B))),E440,INDEX(Initial_Component_aggregator!J:J,MATCH(J440,Initial_Component_aggregator!H:H))))</f>
        <v xml:space="preserve"> </v>
      </c>
      <c r="M440" t="str" cm="1">
        <f t="array" ref="M440">IF(F440=0," ",IF(ISBLANK(INDEX(Initial_Component_aggregator!H:H,MATCH(F440,Initial_Component_aggregator!B:B))),F440,INDEX(Initial_Component_aggregator!K:K,MATCH(J440,Initial_Component_aggregator!H:H))))</f>
        <v xml:space="preserve"> </v>
      </c>
    </row>
    <row r="441" spans="1:13" ht="36" customHeight="1">
      <c r="A441"/>
      <c r="B441"/>
      <c r="C441"/>
      <c r="D441"/>
      <c r="E441"/>
      <c r="F441"/>
      <c r="G441"/>
      <c r="H441" t="str">
        <f t="shared" si="6"/>
        <v xml:space="preserve"> </v>
      </c>
      <c r="I441" t="str" cm="1">
        <f t="array" ref="I441">IF(F441=0," ",IF(ISBLANK(INDEX(Initial_Component_aggregator!F:F,MATCH(F441,Initial_Component_aggregator!B:B,0))),"No change",INDEX(Initial_Component_aggregator!F:F,MATCH(F441,Initial_Component_aggregator!B:B,0))))</f>
        <v xml:space="preserve"> </v>
      </c>
      <c r="J441" t="str" cm="1">
        <f t="array" ref="J441">IF(F441=0," ",IF(ISBLANK(INDEX(Initial_Component_aggregator!H:H,MATCH(F441,Initial_Component_aggregator!B:B,0))),F441,INDEX(Initial_Component_aggregator!H:H,MATCH(F441,Initial_Component_aggregator!B:B,0))))</f>
        <v xml:space="preserve"> </v>
      </c>
      <c r="K441" t="str" cm="1">
        <f t="array" ref="K441">IF(F441=0," ",IF(ISBLANK(INDEX(Initial_Component_aggregator!H:H,MATCH(F441,Initial_Component_aggregator!B:B))),D441,INDEX(Initial_Component_aggregator!I:I,MATCH(J441,Initial_Component_aggregator!H:H))))</f>
        <v xml:space="preserve"> </v>
      </c>
      <c r="L441" t="str" cm="1">
        <f t="array" ref="L441">IF(F441=0," ",IF(ISBLANK(INDEX(Initial_Component_aggregator!H:H,MATCH(F441,Initial_Component_aggregator!B:B))),E441,INDEX(Initial_Component_aggregator!J:J,MATCH(J441,Initial_Component_aggregator!H:H))))</f>
        <v xml:space="preserve"> </v>
      </c>
      <c r="M441" t="str" cm="1">
        <f t="array" ref="M441">IF(F441=0," ",IF(ISBLANK(INDEX(Initial_Component_aggregator!H:H,MATCH(F441,Initial_Component_aggregator!B:B))),F441,INDEX(Initial_Component_aggregator!K:K,MATCH(J441,Initial_Component_aggregator!H:H))))</f>
        <v xml:space="preserve"> </v>
      </c>
    </row>
    <row r="442" spans="1:13" ht="36" customHeight="1">
      <c r="A442"/>
      <c r="B442"/>
      <c r="C442"/>
      <c r="D442"/>
      <c r="E442"/>
      <c r="F442"/>
      <c r="G442"/>
      <c r="H442" t="str">
        <f t="shared" si="6"/>
        <v xml:space="preserve"> </v>
      </c>
      <c r="I442" t="str" cm="1">
        <f t="array" ref="I442">IF(F442=0," ",IF(ISBLANK(INDEX(Initial_Component_aggregator!F:F,MATCH(F442,Initial_Component_aggregator!B:B,0))),"No change",INDEX(Initial_Component_aggregator!F:F,MATCH(F442,Initial_Component_aggregator!B:B,0))))</f>
        <v xml:space="preserve"> </v>
      </c>
      <c r="J442" t="str" cm="1">
        <f t="array" ref="J442">IF(F442=0," ",IF(ISBLANK(INDEX(Initial_Component_aggregator!H:H,MATCH(F442,Initial_Component_aggregator!B:B,0))),F442,INDEX(Initial_Component_aggregator!H:H,MATCH(F442,Initial_Component_aggregator!B:B,0))))</f>
        <v xml:space="preserve"> </v>
      </c>
      <c r="K442" t="str" cm="1">
        <f t="array" ref="K442">IF(F442=0," ",IF(ISBLANK(INDEX(Initial_Component_aggregator!H:H,MATCH(F442,Initial_Component_aggregator!B:B))),D442,INDEX(Initial_Component_aggregator!I:I,MATCH(J442,Initial_Component_aggregator!H:H))))</f>
        <v xml:space="preserve"> </v>
      </c>
      <c r="L442" t="str" cm="1">
        <f t="array" ref="L442">IF(F442=0," ",IF(ISBLANK(INDEX(Initial_Component_aggregator!H:H,MATCH(F442,Initial_Component_aggregator!B:B))),E442,INDEX(Initial_Component_aggregator!J:J,MATCH(J442,Initial_Component_aggregator!H:H))))</f>
        <v xml:space="preserve"> </v>
      </c>
      <c r="M442" t="str" cm="1">
        <f t="array" ref="M442">IF(F442=0," ",IF(ISBLANK(INDEX(Initial_Component_aggregator!H:H,MATCH(F442,Initial_Component_aggregator!B:B))),F442,INDEX(Initial_Component_aggregator!K:K,MATCH(J442,Initial_Component_aggregator!H:H))))</f>
        <v xml:space="preserve"> </v>
      </c>
    </row>
    <row r="443" spans="1:13" ht="36" customHeight="1">
      <c r="A443"/>
      <c r="B443"/>
      <c r="C443"/>
      <c r="D443"/>
      <c r="E443"/>
      <c r="F443"/>
      <c r="G443"/>
      <c r="H443" t="str">
        <f t="shared" si="6"/>
        <v xml:space="preserve"> </v>
      </c>
      <c r="I443" t="str" cm="1">
        <f t="array" ref="I443">IF(F443=0," ",IF(ISBLANK(INDEX(Initial_Component_aggregator!F:F,MATCH(F443,Initial_Component_aggregator!B:B,0))),"No change",INDEX(Initial_Component_aggregator!F:F,MATCH(F443,Initial_Component_aggregator!B:B,0))))</f>
        <v xml:space="preserve"> </v>
      </c>
      <c r="J443" t="str" cm="1">
        <f t="array" ref="J443">IF(F443=0," ",IF(ISBLANK(INDEX(Initial_Component_aggregator!H:H,MATCH(F443,Initial_Component_aggregator!B:B,0))),F443,INDEX(Initial_Component_aggregator!H:H,MATCH(F443,Initial_Component_aggregator!B:B,0))))</f>
        <v xml:space="preserve"> </v>
      </c>
      <c r="K443" t="str" cm="1">
        <f t="array" ref="K443">IF(F443=0," ",IF(ISBLANK(INDEX(Initial_Component_aggregator!H:H,MATCH(F443,Initial_Component_aggregator!B:B))),D443,INDEX(Initial_Component_aggregator!I:I,MATCH(J443,Initial_Component_aggregator!H:H))))</f>
        <v xml:space="preserve"> </v>
      </c>
      <c r="L443" t="str" cm="1">
        <f t="array" ref="L443">IF(F443=0," ",IF(ISBLANK(INDEX(Initial_Component_aggregator!H:H,MATCH(F443,Initial_Component_aggregator!B:B))),E443,INDEX(Initial_Component_aggregator!J:J,MATCH(J443,Initial_Component_aggregator!H:H))))</f>
        <v xml:space="preserve"> </v>
      </c>
      <c r="M443" t="str" cm="1">
        <f t="array" ref="M443">IF(F443=0," ",IF(ISBLANK(INDEX(Initial_Component_aggregator!H:H,MATCH(F443,Initial_Component_aggregator!B:B))),F443,INDEX(Initial_Component_aggregator!K:K,MATCH(J443,Initial_Component_aggregator!H:H))))</f>
        <v xml:space="preserve"> </v>
      </c>
    </row>
    <row r="444" spans="1:13" ht="36" customHeight="1">
      <c r="A444"/>
      <c r="B444"/>
      <c r="C444"/>
      <c r="D444"/>
      <c r="E444"/>
      <c r="F444"/>
      <c r="G444"/>
      <c r="H444" t="str">
        <f t="shared" si="6"/>
        <v xml:space="preserve"> </v>
      </c>
      <c r="I444" t="str" cm="1">
        <f t="array" ref="I444">IF(F444=0," ",IF(ISBLANK(INDEX(Initial_Component_aggregator!F:F,MATCH(F444,Initial_Component_aggregator!B:B,0))),"No change",INDEX(Initial_Component_aggregator!F:F,MATCH(F444,Initial_Component_aggregator!B:B,0))))</f>
        <v xml:space="preserve"> </v>
      </c>
      <c r="J444" t="str" cm="1">
        <f t="array" ref="J444">IF(F444=0," ",IF(ISBLANK(INDEX(Initial_Component_aggregator!H:H,MATCH(F444,Initial_Component_aggregator!B:B,0))),F444,INDEX(Initial_Component_aggregator!H:H,MATCH(F444,Initial_Component_aggregator!B:B,0))))</f>
        <v xml:space="preserve"> </v>
      </c>
      <c r="K444" t="str" cm="1">
        <f t="array" ref="K444">IF(F444=0," ",IF(ISBLANK(INDEX(Initial_Component_aggregator!H:H,MATCH(F444,Initial_Component_aggregator!B:B))),D444,INDEX(Initial_Component_aggregator!I:I,MATCH(J444,Initial_Component_aggregator!H:H))))</f>
        <v xml:space="preserve"> </v>
      </c>
      <c r="L444" t="str" cm="1">
        <f t="array" ref="L444">IF(F444=0," ",IF(ISBLANK(INDEX(Initial_Component_aggregator!H:H,MATCH(F444,Initial_Component_aggregator!B:B))),E444,INDEX(Initial_Component_aggregator!J:J,MATCH(J444,Initial_Component_aggregator!H:H))))</f>
        <v xml:space="preserve"> </v>
      </c>
      <c r="M444" t="str" cm="1">
        <f t="array" ref="M444">IF(F444=0," ",IF(ISBLANK(INDEX(Initial_Component_aggregator!H:H,MATCH(F444,Initial_Component_aggregator!B:B))),F444,INDEX(Initial_Component_aggregator!K:K,MATCH(J444,Initial_Component_aggregator!H:H))))</f>
        <v xml:space="preserve"> </v>
      </c>
    </row>
    <row r="445" spans="1:13" ht="36" customHeight="1">
      <c r="A445"/>
      <c r="B445"/>
      <c r="C445"/>
      <c r="D445"/>
      <c r="E445"/>
      <c r="F445"/>
      <c r="G445"/>
      <c r="H445" t="str">
        <f t="shared" si="6"/>
        <v xml:space="preserve"> </v>
      </c>
      <c r="I445" t="str" cm="1">
        <f t="array" ref="I445">IF(F445=0," ",IF(ISBLANK(INDEX(Initial_Component_aggregator!F:F,MATCH(F445,Initial_Component_aggregator!B:B,0))),"No change",INDEX(Initial_Component_aggregator!F:F,MATCH(F445,Initial_Component_aggregator!B:B,0))))</f>
        <v xml:space="preserve"> </v>
      </c>
      <c r="J445" t="str" cm="1">
        <f t="array" ref="J445">IF(F445=0," ",IF(ISBLANK(INDEX(Initial_Component_aggregator!H:H,MATCH(F445,Initial_Component_aggregator!B:B,0))),F445,INDEX(Initial_Component_aggregator!H:H,MATCH(F445,Initial_Component_aggregator!B:B,0))))</f>
        <v xml:space="preserve"> </v>
      </c>
      <c r="K445" t="str" cm="1">
        <f t="array" ref="K445">IF(F445=0," ",IF(ISBLANK(INDEX(Initial_Component_aggregator!H:H,MATCH(F445,Initial_Component_aggregator!B:B))),D445,INDEX(Initial_Component_aggregator!I:I,MATCH(J445,Initial_Component_aggregator!H:H))))</f>
        <v xml:space="preserve"> </v>
      </c>
      <c r="L445" t="str" cm="1">
        <f t="array" ref="L445">IF(F445=0," ",IF(ISBLANK(INDEX(Initial_Component_aggregator!H:H,MATCH(F445,Initial_Component_aggregator!B:B))),E445,INDEX(Initial_Component_aggregator!J:J,MATCH(J445,Initial_Component_aggregator!H:H))))</f>
        <v xml:space="preserve"> </v>
      </c>
      <c r="M445" t="str" cm="1">
        <f t="array" ref="M445">IF(F445=0," ",IF(ISBLANK(INDEX(Initial_Component_aggregator!H:H,MATCH(F445,Initial_Component_aggregator!B:B))),F445,INDEX(Initial_Component_aggregator!K:K,MATCH(J445,Initial_Component_aggregator!H:H))))</f>
        <v xml:space="preserve"> </v>
      </c>
    </row>
    <row r="446" spans="1:13" ht="36" customHeight="1">
      <c r="A446"/>
      <c r="B446"/>
      <c r="C446"/>
      <c r="D446"/>
      <c r="E446"/>
      <c r="F446"/>
      <c r="G446"/>
      <c r="H446" t="str">
        <f t="shared" si="6"/>
        <v xml:space="preserve"> </v>
      </c>
      <c r="I446" t="str" cm="1">
        <f t="array" ref="I446">IF(F446=0," ",IF(ISBLANK(INDEX(Initial_Component_aggregator!F:F,MATCH(F446,Initial_Component_aggregator!B:B,0))),"No change",INDEX(Initial_Component_aggregator!F:F,MATCH(F446,Initial_Component_aggregator!B:B,0))))</f>
        <v xml:space="preserve"> </v>
      </c>
      <c r="J446" t="str" cm="1">
        <f t="array" ref="J446">IF(F446=0," ",IF(ISBLANK(INDEX(Initial_Component_aggregator!H:H,MATCH(F446,Initial_Component_aggregator!B:B,0))),F446,INDEX(Initial_Component_aggregator!H:H,MATCH(F446,Initial_Component_aggregator!B:B,0))))</f>
        <v xml:space="preserve"> </v>
      </c>
      <c r="K446" t="str" cm="1">
        <f t="array" ref="K446">IF(F446=0," ",IF(ISBLANK(INDEX(Initial_Component_aggregator!H:H,MATCH(F446,Initial_Component_aggregator!B:B))),D446,INDEX(Initial_Component_aggregator!I:I,MATCH(J446,Initial_Component_aggregator!H:H))))</f>
        <v xml:space="preserve"> </v>
      </c>
      <c r="L446" t="str" cm="1">
        <f t="array" ref="L446">IF(F446=0," ",IF(ISBLANK(INDEX(Initial_Component_aggregator!H:H,MATCH(F446,Initial_Component_aggregator!B:B))),E446,INDEX(Initial_Component_aggregator!J:J,MATCH(J446,Initial_Component_aggregator!H:H))))</f>
        <v xml:space="preserve"> </v>
      </c>
      <c r="M446" t="str" cm="1">
        <f t="array" ref="M446">IF(F446=0," ",IF(ISBLANK(INDEX(Initial_Component_aggregator!H:H,MATCH(F446,Initial_Component_aggregator!B:B))),F446,INDEX(Initial_Component_aggregator!K:K,MATCH(J446,Initial_Component_aggregator!H:H))))</f>
        <v xml:space="preserve"> </v>
      </c>
    </row>
    <row r="447" spans="1:13" ht="36" customHeight="1">
      <c r="A447"/>
      <c r="B447"/>
      <c r="C447"/>
      <c r="D447"/>
      <c r="E447"/>
      <c r="F447"/>
      <c r="G447"/>
      <c r="H447" t="str">
        <f t="shared" si="6"/>
        <v xml:space="preserve"> </v>
      </c>
      <c r="I447" t="str" cm="1">
        <f t="array" ref="I447">IF(F447=0," ",IF(ISBLANK(INDEX(Initial_Component_aggregator!F:F,MATCH(F447,Initial_Component_aggregator!B:B,0))),"No change",INDEX(Initial_Component_aggregator!F:F,MATCH(F447,Initial_Component_aggregator!B:B,0))))</f>
        <v xml:space="preserve"> </v>
      </c>
      <c r="J447" t="str" cm="1">
        <f t="array" ref="J447">IF(F447=0," ",IF(ISBLANK(INDEX(Initial_Component_aggregator!H:H,MATCH(F447,Initial_Component_aggregator!B:B,0))),F447,INDEX(Initial_Component_aggregator!H:H,MATCH(F447,Initial_Component_aggregator!B:B,0))))</f>
        <v xml:space="preserve"> </v>
      </c>
      <c r="K447" t="str" cm="1">
        <f t="array" ref="K447">IF(F447=0," ",IF(ISBLANK(INDEX(Initial_Component_aggregator!H:H,MATCH(F447,Initial_Component_aggregator!B:B))),D447,INDEX(Initial_Component_aggregator!I:I,MATCH(J447,Initial_Component_aggregator!H:H))))</f>
        <v xml:space="preserve"> </v>
      </c>
      <c r="L447" t="str" cm="1">
        <f t="array" ref="L447">IF(F447=0," ",IF(ISBLANK(INDEX(Initial_Component_aggregator!H:H,MATCH(F447,Initial_Component_aggregator!B:B))),E447,INDEX(Initial_Component_aggregator!J:J,MATCH(J447,Initial_Component_aggregator!H:H))))</f>
        <v xml:space="preserve"> </v>
      </c>
      <c r="M447" t="str" cm="1">
        <f t="array" ref="M447">IF(F447=0," ",IF(ISBLANK(INDEX(Initial_Component_aggregator!H:H,MATCH(F447,Initial_Component_aggregator!B:B))),F447,INDEX(Initial_Component_aggregator!K:K,MATCH(J447,Initial_Component_aggregator!H:H))))</f>
        <v xml:space="preserve"> </v>
      </c>
    </row>
    <row r="448" spans="1:13" ht="36" customHeight="1">
      <c r="A448"/>
      <c r="B448"/>
      <c r="C448"/>
      <c r="D448"/>
      <c r="E448"/>
      <c r="F448"/>
      <c r="G448"/>
      <c r="H448" t="str">
        <f t="shared" si="6"/>
        <v xml:space="preserve"> </v>
      </c>
      <c r="I448" t="str" cm="1">
        <f t="array" ref="I448">IF(F448=0," ",IF(ISBLANK(INDEX(Initial_Component_aggregator!F:F,MATCH(F448,Initial_Component_aggregator!B:B,0))),"No change",INDEX(Initial_Component_aggregator!F:F,MATCH(F448,Initial_Component_aggregator!B:B,0))))</f>
        <v xml:space="preserve"> </v>
      </c>
      <c r="J448" t="str" cm="1">
        <f t="array" ref="J448">IF(F448=0," ",IF(ISBLANK(INDEX(Initial_Component_aggregator!H:H,MATCH(F448,Initial_Component_aggregator!B:B,0))),F448,INDEX(Initial_Component_aggregator!H:H,MATCH(F448,Initial_Component_aggregator!B:B,0))))</f>
        <v xml:space="preserve"> </v>
      </c>
      <c r="K448" t="str" cm="1">
        <f t="array" ref="K448">IF(F448=0," ",IF(ISBLANK(INDEX(Initial_Component_aggregator!H:H,MATCH(F448,Initial_Component_aggregator!B:B))),D448,INDEX(Initial_Component_aggregator!I:I,MATCH(J448,Initial_Component_aggregator!H:H))))</f>
        <v xml:space="preserve"> </v>
      </c>
      <c r="L448" t="str" cm="1">
        <f t="array" ref="L448">IF(F448=0," ",IF(ISBLANK(INDEX(Initial_Component_aggregator!H:H,MATCH(F448,Initial_Component_aggregator!B:B))),E448,INDEX(Initial_Component_aggregator!J:J,MATCH(J448,Initial_Component_aggregator!H:H))))</f>
        <v xml:space="preserve"> </v>
      </c>
      <c r="M448" t="str" cm="1">
        <f t="array" ref="M448">IF(F448=0," ",IF(ISBLANK(INDEX(Initial_Component_aggregator!H:H,MATCH(F448,Initial_Component_aggregator!B:B))),F448,INDEX(Initial_Component_aggregator!K:K,MATCH(J448,Initial_Component_aggregator!H:H))))</f>
        <v xml:space="preserve"> </v>
      </c>
    </row>
    <row r="449" spans="1:13" ht="36" customHeight="1">
      <c r="A449"/>
      <c r="B449"/>
      <c r="C449"/>
      <c r="D449"/>
      <c r="E449"/>
      <c r="F449"/>
      <c r="G449"/>
      <c r="H449" t="str">
        <f t="shared" si="6"/>
        <v xml:space="preserve"> </v>
      </c>
      <c r="I449" t="str" cm="1">
        <f t="array" ref="I449">IF(F449=0," ",IF(ISBLANK(INDEX(Initial_Component_aggregator!F:F,MATCH(F449,Initial_Component_aggregator!B:B,0))),"No change",INDEX(Initial_Component_aggregator!F:F,MATCH(F449,Initial_Component_aggregator!B:B,0))))</f>
        <v xml:space="preserve"> </v>
      </c>
      <c r="J449" t="str" cm="1">
        <f t="array" ref="J449">IF(F449=0," ",IF(ISBLANK(INDEX(Initial_Component_aggregator!H:H,MATCH(F449,Initial_Component_aggregator!B:B,0))),F449,INDEX(Initial_Component_aggregator!H:H,MATCH(F449,Initial_Component_aggregator!B:B,0))))</f>
        <v xml:space="preserve"> </v>
      </c>
      <c r="K449" t="str" cm="1">
        <f t="array" ref="K449">IF(F449=0," ",IF(ISBLANK(INDEX(Initial_Component_aggregator!H:H,MATCH(F449,Initial_Component_aggregator!B:B))),D449,INDEX(Initial_Component_aggregator!I:I,MATCH(J449,Initial_Component_aggregator!H:H))))</f>
        <v xml:space="preserve"> </v>
      </c>
      <c r="L449" t="str" cm="1">
        <f t="array" ref="L449">IF(F449=0," ",IF(ISBLANK(INDEX(Initial_Component_aggregator!H:H,MATCH(F449,Initial_Component_aggregator!B:B))),E449,INDEX(Initial_Component_aggregator!J:J,MATCH(J449,Initial_Component_aggregator!H:H))))</f>
        <v xml:space="preserve"> </v>
      </c>
      <c r="M449" t="str" cm="1">
        <f t="array" ref="M449">IF(F449=0," ",IF(ISBLANK(INDEX(Initial_Component_aggregator!H:H,MATCH(F449,Initial_Component_aggregator!B:B))),F449,INDEX(Initial_Component_aggregator!K:K,MATCH(J449,Initial_Component_aggregator!H:H))))</f>
        <v xml:space="preserve"> </v>
      </c>
    </row>
    <row r="450" spans="1:13" ht="36" customHeight="1">
      <c r="A450"/>
      <c r="B450"/>
      <c r="C450"/>
      <c r="D450"/>
      <c r="E450"/>
      <c r="F450"/>
      <c r="G450"/>
      <c r="H450" t="str">
        <f t="shared" si="6"/>
        <v xml:space="preserve"> </v>
      </c>
      <c r="I450" t="str" cm="1">
        <f t="array" ref="I450">IF(F450=0," ",IF(ISBLANK(INDEX(Initial_Component_aggregator!F:F,MATCH(F450,Initial_Component_aggregator!B:B,0))),"No change",INDEX(Initial_Component_aggregator!F:F,MATCH(F450,Initial_Component_aggregator!B:B,0))))</f>
        <v xml:space="preserve"> </v>
      </c>
      <c r="J450" t="str" cm="1">
        <f t="array" ref="J450">IF(F450=0," ",IF(ISBLANK(INDEX(Initial_Component_aggregator!H:H,MATCH(F450,Initial_Component_aggregator!B:B,0))),F450,INDEX(Initial_Component_aggregator!H:H,MATCH(F450,Initial_Component_aggregator!B:B,0))))</f>
        <v xml:space="preserve"> </v>
      </c>
      <c r="K450" t="str" cm="1">
        <f t="array" ref="K450">IF(F450=0," ",IF(ISBLANK(INDEX(Initial_Component_aggregator!H:H,MATCH(F450,Initial_Component_aggregator!B:B))),D450,INDEX(Initial_Component_aggregator!I:I,MATCH(J450,Initial_Component_aggregator!H:H))))</f>
        <v xml:space="preserve"> </v>
      </c>
      <c r="L450" t="str" cm="1">
        <f t="array" ref="L450">IF(F450=0," ",IF(ISBLANK(INDEX(Initial_Component_aggregator!H:H,MATCH(F450,Initial_Component_aggregator!B:B))),E450,INDEX(Initial_Component_aggregator!J:J,MATCH(J450,Initial_Component_aggregator!H:H))))</f>
        <v xml:space="preserve"> </v>
      </c>
      <c r="M450" t="str" cm="1">
        <f t="array" ref="M450">IF(F450=0," ",IF(ISBLANK(INDEX(Initial_Component_aggregator!H:H,MATCH(F450,Initial_Component_aggregator!B:B))),F450,INDEX(Initial_Component_aggregator!K:K,MATCH(J450,Initial_Component_aggregator!H:H))))</f>
        <v xml:space="preserve"> </v>
      </c>
    </row>
    <row r="451" spans="1:13" ht="36" customHeight="1">
      <c r="A451"/>
      <c r="B451"/>
      <c r="C451"/>
      <c r="D451"/>
      <c r="E451"/>
      <c r="F451"/>
      <c r="G451"/>
      <c r="H451" t="str">
        <f t="shared" ref="H451:H500" si="7">IF(F451=0," ",(AND(IF(J451=F451,0,1),F451&lt;&gt;0)))</f>
        <v xml:space="preserve"> </v>
      </c>
      <c r="I451" t="str" cm="1">
        <f t="array" ref="I451">IF(F451=0," ",IF(ISBLANK(INDEX(Initial_Component_aggregator!F:F,MATCH(F451,Initial_Component_aggregator!B:B,0))),"No change",INDEX(Initial_Component_aggregator!F:F,MATCH(F451,Initial_Component_aggregator!B:B,0))))</f>
        <v xml:space="preserve"> </v>
      </c>
      <c r="J451" t="str" cm="1">
        <f t="array" ref="J451">IF(F451=0," ",IF(ISBLANK(INDEX(Initial_Component_aggregator!H:H,MATCH(F451,Initial_Component_aggregator!B:B,0))),F451,INDEX(Initial_Component_aggregator!H:H,MATCH(F451,Initial_Component_aggregator!B:B,0))))</f>
        <v xml:space="preserve"> </v>
      </c>
      <c r="K451" t="str" cm="1">
        <f t="array" ref="K451">IF(F451=0," ",IF(ISBLANK(INDEX(Initial_Component_aggregator!H:H,MATCH(F451,Initial_Component_aggregator!B:B))),D451,INDEX(Initial_Component_aggregator!I:I,MATCH(J451,Initial_Component_aggregator!H:H))))</f>
        <v xml:space="preserve"> </v>
      </c>
      <c r="L451" t="str" cm="1">
        <f t="array" ref="L451">IF(F451=0," ",IF(ISBLANK(INDEX(Initial_Component_aggregator!H:H,MATCH(F451,Initial_Component_aggregator!B:B))),E451,INDEX(Initial_Component_aggregator!J:J,MATCH(J451,Initial_Component_aggregator!H:H))))</f>
        <v xml:space="preserve"> </v>
      </c>
      <c r="M451" t="str" cm="1">
        <f t="array" ref="M451">IF(F451=0," ",IF(ISBLANK(INDEX(Initial_Component_aggregator!H:H,MATCH(F451,Initial_Component_aggregator!B:B))),F451,INDEX(Initial_Component_aggregator!K:K,MATCH(J451,Initial_Component_aggregator!H:H))))</f>
        <v xml:space="preserve"> </v>
      </c>
    </row>
    <row r="452" spans="1:13" ht="36" customHeight="1">
      <c r="A452"/>
      <c r="B452"/>
      <c r="C452"/>
      <c r="D452"/>
      <c r="E452"/>
      <c r="F452"/>
      <c r="G452"/>
      <c r="H452" t="str">
        <f t="shared" si="7"/>
        <v xml:space="preserve"> </v>
      </c>
      <c r="I452" t="str" cm="1">
        <f t="array" ref="I452">IF(F452=0," ",IF(ISBLANK(INDEX(Initial_Component_aggregator!F:F,MATCH(F452,Initial_Component_aggregator!B:B,0))),"No change",INDEX(Initial_Component_aggregator!F:F,MATCH(F452,Initial_Component_aggregator!B:B,0))))</f>
        <v xml:space="preserve"> </v>
      </c>
      <c r="J452" t="str" cm="1">
        <f t="array" ref="J452">IF(F452=0," ",IF(ISBLANK(INDEX(Initial_Component_aggregator!H:H,MATCH(F452,Initial_Component_aggregator!B:B,0))),F452,INDEX(Initial_Component_aggregator!H:H,MATCH(F452,Initial_Component_aggregator!B:B,0))))</f>
        <v xml:space="preserve"> </v>
      </c>
      <c r="K452" t="str" cm="1">
        <f t="array" ref="K452">IF(F452=0," ",IF(ISBLANK(INDEX(Initial_Component_aggregator!H:H,MATCH(F452,Initial_Component_aggregator!B:B))),D452,INDEX(Initial_Component_aggregator!I:I,MATCH(J452,Initial_Component_aggregator!H:H))))</f>
        <v xml:space="preserve"> </v>
      </c>
      <c r="L452" t="str" cm="1">
        <f t="array" ref="L452">IF(F452=0," ",IF(ISBLANK(INDEX(Initial_Component_aggregator!H:H,MATCH(F452,Initial_Component_aggregator!B:B))),E452,INDEX(Initial_Component_aggregator!J:J,MATCH(J452,Initial_Component_aggregator!H:H))))</f>
        <v xml:space="preserve"> </v>
      </c>
      <c r="M452" t="str" cm="1">
        <f t="array" ref="M452">IF(F452=0," ",IF(ISBLANK(INDEX(Initial_Component_aggregator!H:H,MATCH(F452,Initial_Component_aggregator!B:B))),F452,INDEX(Initial_Component_aggregator!K:K,MATCH(J452,Initial_Component_aggregator!H:H))))</f>
        <v xml:space="preserve"> </v>
      </c>
    </row>
    <row r="453" spans="1:13" ht="36" customHeight="1">
      <c r="A453"/>
      <c r="B453"/>
      <c r="C453"/>
      <c r="D453"/>
      <c r="E453"/>
      <c r="F453"/>
      <c r="G453"/>
      <c r="H453" t="str">
        <f t="shared" si="7"/>
        <v xml:space="preserve"> </v>
      </c>
      <c r="I453" t="str" cm="1">
        <f t="array" ref="I453">IF(F453=0," ",IF(ISBLANK(INDEX(Initial_Component_aggregator!F:F,MATCH(F453,Initial_Component_aggregator!B:B,0))),"No change",INDEX(Initial_Component_aggregator!F:F,MATCH(F453,Initial_Component_aggregator!B:B,0))))</f>
        <v xml:space="preserve"> </v>
      </c>
      <c r="J453" t="str" cm="1">
        <f t="array" ref="J453">IF(F453=0," ",IF(ISBLANK(INDEX(Initial_Component_aggregator!H:H,MATCH(F453,Initial_Component_aggregator!B:B,0))),F453,INDEX(Initial_Component_aggregator!H:H,MATCH(F453,Initial_Component_aggregator!B:B,0))))</f>
        <v xml:space="preserve"> </v>
      </c>
      <c r="K453" t="str" cm="1">
        <f t="array" ref="K453">IF(F453=0," ",IF(ISBLANK(INDEX(Initial_Component_aggregator!H:H,MATCH(F453,Initial_Component_aggregator!B:B))),D453,INDEX(Initial_Component_aggregator!I:I,MATCH(J453,Initial_Component_aggregator!H:H))))</f>
        <v xml:space="preserve"> </v>
      </c>
      <c r="L453" t="str" cm="1">
        <f t="array" ref="L453">IF(F453=0," ",IF(ISBLANK(INDEX(Initial_Component_aggregator!H:H,MATCH(F453,Initial_Component_aggregator!B:B))),E453,INDEX(Initial_Component_aggregator!J:J,MATCH(J453,Initial_Component_aggregator!H:H))))</f>
        <v xml:space="preserve"> </v>
      </c>
      <c r="M453" t="str" cm="1">
        <f t="array" ref="M453">IF(F453=0," ",IF(ISBLANK(INDEX(Initial_Component_aggregator!H:H,MATCH(F453,Initial_Component_aggregator!B:B))),F453,INDEX(Initial_Component_aggregator!K:K,MATCH(J453,Initial_Component_aggregator!H:H))))</f>
        <v xml:space="preserve"> </v>
      </c>
    </row>
    <row r="454" spans="1:13" ht="36" customHeight="1">
      <c r="A454"/>
      <c r="B454"/>
      <c r="C454"/>
      <c r="D454"/>
      <c r="E454"/>
      <c r="F454"/>
      <c r="G454"/>
      <c r="H454" t="str">
        <f t="shared" si="7"/>
        <v xml:space="preserve"> </v>
      </c>
      <c r="I454" t="str" cm="1">
        <f t="array" ref="I454">IF(F454=0," ",IF(ISBLANK(INDEX(Initial_Component_aggregator!F:F,MATCH(F454,Initial_Component_aggregator!B:B,0))),"No change",INDEX(Initial_Component_aggregator!F:F,MATCH(F454,Initial_Component_aggregator!B:B,0))))</f>
        <v xml:space="preserve"> </v>
      </c>
      <c r="J454" t="str" cm="1">
        <f t="array" ref="J454">IF(F454=0," ",IF(ISBLANK(INDEX(Initial_Component_aggregator!H:H,MATCH(F454,Initial_Component_aggregator!B:B,0))),F454,INDEX(Initial_Component_aggregator!H:H,MATCH(F454,Initial_Component_aggregator!B:B,0))))</f>
        <v xml:space="preserve"> </v>
      </c>
      <c r="K454" t="str" cm="1">
        <f t="array" ref="K454">IF(F454=0," ",IF(ISBLANK(INDEX(Initial_Component_aggregator!H:H,MATCH(F454,Initial_Component_aggregator!B:B))),D454,INDEX(Initial_Component_aggregator!I:I,MATCH(J454,Initial_Component_aggregator!H:H))))</f>
        <v xml:space="preserve"> </v>
      </c>
      <c r="L454" t="str" cm="1">
        <f t="array" ref="L454">IF(F454=0," ",IF(ISBLANK(INDEX(Initial_Component_aggregator!H:H,MATCH(F454,Initial_Component_aggregator!B:B))),E454,INDEX(Initial_Component_aggregator!J:J,MATCH(J454,Initial_Component_aggregator!H:H))))</f>
        <v xml:space="preserve"> </v>
      </c>
      <c r="M454" t="str" cm="1">
        <f t="array" ref="M454">IF(F454=0," ",IF(ISBLANK(INDEX(Initial_Component_aggregator!H:H,MATCH(F454,Initial_Component_aggregator!B:B))),F454,INDEX(Initial_Component_aggregator!K:K,MATCH(J454,Initial_Component_aggregator!H:H))))</f>
        <v xml:space="preserve"> </v>
      </c>
    </row>
    <row r="455" spans="1:13" ht="36" customHeight="1">
      <c r="A455"/>
      <c r="B455"/>
      <c r="C455"/>
      <c r="D455"/>
      <c r="E455"/>
      <c r="F455"/>
      <c r="G455"/>
      <c r="H455" t="str">
        <f t="shared" si="7"/>
        <v xml:space="preserve"> </v>
      </c>
      <c r="I455" t="str" cm="1">
        <f t="array" ref="I455">IF(F455=0," ",IF(ISBLANK(INDEX(Initial_Component_aggregator!F:F,MATCH(F455,Initial_Component_aggregator!B:B,0))),"No change",INDEX(Initial_Component_aggregator!F:F,MATCH(F455,Initial_Component_aggregator!B:B,0))))</f>
        <v xml:space="preserve"> </v>
      </c>
      <c r="J455" t="str" cm="1">
        <f t="array" ref="J455">IF(F455=0," ",IF(ISBLANK(INDEX(Initial_Component_aggregator!H:H,MATCH(F455,Initial_Component_aggregator!B:B,0))),F455,INDEX(Initial_Component_aggregator!H:H,MATCH(F455,Initial_Component_aggregator!B:B,0))))</f>
        <v xml:space="preserve"> </v>
      </c>
      <c r="K455" t="str" cm="1">
        <f t="array" ref="K455">IF(F455=0," ",IF(ISBLANK(INDEX(Initial_Component_aggregator!H:H,MATCH(F455,Initial_Component_aggregator!B:B))),D455,INDEX(Initial_Component_aggregator!I:I,MATCH(J455,Initial_Component_aggregator!H:H))))</f>
        <v xml:space="preserve"> </v>
      </c>
      <c r="L455" t="str" cm="1">
        <f t="array" ref="L455">IF(F455=0," ",IF(ISBLANK(INDEX(Initial_Component_aggregator!H:H,MATCH(F455,Initial_Component_aggregator!B:B))),E455,INDEX(Initial_Component_aggregator!J:J,MATCH(J455,Initial_Component_aggregator!H:H))))</f>
        <v xml:space="preserve"> </v>
      </c>
      <c r="M455" t="str" cm="1">
        <f t="array" ref="M455">IF(F455=0," ",IF(ISBLANK(INDEX(Initial_Component_aggregator!H:H,MATCH(F455,Initial_Component_aggregator!B:B))),F455,INDEX(Initial_Component_aggregator!K:K,MATCH(J455,Initial_Component_aggregator!H:H))))</f>
        <v xml:space="preserve"> </v>
      </c>
    </row>
    <row r="456" spans="1:13" ht="36" customHeight="1">
      <c r="A456"/>
      <c r="B456"/>
      <c r="C456"/>
      <c r="D456"/>
      <c r="E456"/>
      <c r="F456"/>
      <c r="G456"/>
      <c r="H456" t="str">
        <f t="shared" si="7"/>
        <v xml:space="preserve"> </v>
      </c>
      <c r="I456" t="str" cm="1">
        <f t="array" ref="I456">IF(F456=0," ",IF(ISBLANK(INDEX(Initial_Component_aggregator!F:F,MATCH(F456,Initial_Component_aggregator!B:B,0))),"No change",INDEX(Initial_Component_aggregator!F:F,MATCH(F456,Initial_Component_aggregator!B:B,0))))</f>
        <v xml:space="preserve"> </v>
      </c>
      <c r="J456" t="str" cm="1">
        <f t="array" ref="J456">IF(F456=0," ",IF(ISBLANK(INDEX(Initial_Component_aggregator!H:H,MATCH(F456,Initial_Component_aggregator!B:B,0))),F456,INDEX(Initial_Component_aggregator!H:H,MATCH(F456,Initial_Component_aggregator!B:B,0))))</f>
        <v xml:space="preserve"> </v>
      </c>
      <c r="K456" t="str" cm="1">
        <f t="array" ref="K456">IF(F456=0," ",IF(ISBLANK(INDEX(Initial_Component_aggregator!H:H,MATCH(F456,Initial_Component_aggregator!B:B))),D456,INDEX(Initial_Component_aggregator!I:I,MATCH(J456,Initial_Component_aggregator!H:H))))</f>
        <v xml:space="preserve"> </v>
      </c>
      <c r="L456" t="str" cm="1">
        <f t="array" ref="L456">IF(F456=0," ",IF(ISBLANK(INDEX(Initial_Component_aggregator!H:H,MATCH(F456,Initial_Component_aggregator!B:B))),E456,INDEX(Initial_Component_aggregator!J:J,MATCH(J456,Initial_Component_aggregator!H:H))))</f>
        <v xml:space="preserve"> </v>
      </c>
      <c r="M456" t="str" cm="1">
        <f t="array" ref="M456">IF(F456=0," ",IF(ISBLANK(INDEX(Initial_Component_aggregator!H:H,MATCH(F456,Initial_Component_aggregator!B:B))),F456,INDEX(Initial_Component_aggregator!K:K,MATCH(J456,Initial_Component_aggregator!H:H))))</f>
        <v xml:space="preserve"> </v>
      </c>
    </row>
    <row r="457" spans="1:13" ht="36" customHeight="1">
      <c r="A457"/>
      <c r="B457"/>
      <c r="C457"/>
      <c r="D457"/>
      <c r="E457"/>
      <c r="F457"/>
      <c r="G457"/>
      <c r="H457" t="str">
        <f t="shared" si="7"/>
        <v xml:space="preserve"> </v>
      </c>
      <c r="I457" t="str" cm="1">
        <f t="array" ref="I457">IF(F457=0," ",IF(ISBLANK(INDEX(Initial_Component_aggregator!F:F,MATCH(F457,Initial_Component_aggregator!B:B,0))),"No change",INDEX(Initial_Component_aggregator!F:F,MATCH(F457,Initial_Component_aggregator!B:B,0))))</f>
        <v xml:space="preserve"> </v>
      </c>
      <c r="J457" t="str" cm="1">
        <f t="array" ref="J457">IF(F457=0," ",IF(ISBLANK(INDEX(Initial_Component_aggregator!H:H,MATCH(F457,Initial_Component_aggregator!B:B,0))),F457,INDEX(Initial_Component_aggregator!H:H,MATCH(F457,Initial_Component_aggregator!B:B,0))))</f>
        <v xml:space="preserve"> </v>
      </c>
      <c r="K457" t="str" cm="1">
        <f t="array" ref="K457">IF(F457=0," ",IF(ISBLANK(INDEX(Initial_Component_aggregator!H:H,MATCH(F457,Initial_Component_aggregator!B:B))),D457,INDEX(Initial_Component_aggregator!I:I,MATCH(J457,Initial_Component_aggregator!H:H))))</f>
        <v xml:space="preserve"> </v>
      </c>
      <c r="L457" t="str" cm="1">
        <f t="array" ref="L457">IF(F457=0," ",IF(ISBLANK(INDEX(Initial_Component_aggregator!H:H,MATCH(F457,Initial_Component_aggregator!B:B))),E457,INDEX(Initial_Component_aggregator!J:J,MATCH(J457,Initial_Component_aggregator!H:H))))</f>
        <v xml:space="preserve"> </v>
      </c>
      <c r="M457" t="str" cm="1">
        <f t="array" ref="M457">IF(F457=0," ",IF(ISBLANK(INDEX(Initial_Component_aggregator!H:H,MATCH(F457,Initial_Component_aggregator!B:B))),F457,INDEX(Initial_Component_aggregator!K:K,MATCH(J457,Initial_Component_aggregator!H:H))))</f>
        <v xml:space="preserve"> </v>
      </c>
    </row>
    <row r="458" spans="1:13" ht="36" customHeight="1">
      <c r="A458"/>
      <c r="B458"/>
      <c r="C458"/>
      <c r="D458"/>
      <c r="E458"/>
      <c r="F458"/>
      <c r="G458"/>
      <c r="H458" t="str">
        <f t="shared" si="7"/>
        <v xml:space="preserve"> </v>
      </c>
      <c r="I458" t="str" cm="1">
        <f t="array" ref="I458">IF(F458=0," ",IF(ISBLANK(INDEX(Initial_Component_aggregator!F:F,MATCH(F458,Initial_Component_aggregator!B:B,0))),"No change",INDEX(Initial_Component_aggregator!F:F,MATCH(F458,Initial_Component_aggregator!B:B,0))))</f>
        <v xml:space="preserve"> </v>
      </c>
      <c r="J458" t="str" cm="1">
        <f t="array" ref="J458">IF(F458=0," ",IF(ISBLANK(INDEX(Initial_Component_aggregator!H:H,MATCH(F458,Initial_Component_aggregator!B:B,0))),F458,INDEX(Initial_Component_aggregator!H:H,MATCH(F458,Initial_Component_aggregator!B:B,0))))</f>
        <v xml:space="preserve"> </v>
      </c>
      <c r="K458" t="str" cm="1">
        <f t="array" ref="K458">IF(F458=0," ",IF(ISBLANK(INDEX(Initial_Component_aggregator!H:H,MATCH(F458,Initial_Component_aggregator!B:B))),D458,INDEX(Initial_Component_aggregator!I:I,MATCH(J458,Initial_Component_aggregator!H:H))))</f>
        <v xml:space="preserve"> </v>
      </c>
      <c r="L458" t="str" cm="1">
        <f t="array" ref="L458">IF(F458=0," ",IF(ISBLANK(INDEX(Initial_Component_aggregator!H:H,MATCH(F458,Initial_Component_aggregator!B:B))),E458,INDEX(Initial_Component_aggregator!J:J,MATCH(J458,Initial_Component_aggregator!H:H))))</f>
        <v xml:space="preserve"> </v>
      </c>
      <c r="M458" t="str" cm="1">
        <f t="array" ref="M458">IF(F458=0," ",IF(ISBLANK(INDEX(Initial_Component_aggregator!H:H,MATCH(F458,Initial_Component_aggregator!B:B))),F458,INDEX(Initial_Component_aggregator!K:K,MATCH(J458,Initial_Component_aggregator!H:H))))</f>
        <v xml:space="preserve"> </v>
      </c>
    </row>
    <row r="459" spans="1:13" ht="36" customHeight="1">
      <c r="A459"/>
      <c r="B459"/>
      <c r="C459"/>
      <c r="D459"/>
      <c r="E459"/>
      <c r="F459"/>
      <c r="G459"/>
      <c r="H459" t="str">
        <f t="shared" si="7"/>
        <v xml:space="preserve"> </v>
      </c>
      <c r="I459" t="str" cm="1">
        <f t="array" ref="I459">IF(F459=0," ",IF(ISBLANK(INDEX(Initial_Component_aggregator!F:F,MATCH(F459,Initial_Component_aggregator!B:B,0))),"No change",INDEX(Initial_Component_aggregator!F:F,MATCH(F459,Initial_Component_aggregator!B:B,0))))</f>
        <v xml:space="preserve"> </v>
      </c>
      <c r="J459" t="str" cm="1">
        <f t="array" ref="J459">IF(F459=0," ",IF(ISBLANK(INDEX(Initial_Component_aggregator!H:H,MATCH(F459,Initial_Component_aggregator!B:B,0))),F459,INDEX(Initial_Component_aggregator!H:H,MATCH(F459,Initial_Component_aggregator!B:B,0))))</f>
        <v xml:space="preserve"> </v>
      </c>
      <c r="K459" t="str" cm="1">
        <f t="array" ref="K459">IF(F459=0," ",IF(ISBLANK(INDEX(Initial_Component_aggregator!H:H,MATCH(F459,Initial_Component_aggregator!B:B))),D459,INDEX(Initial_Component_aggregator!I:I,MATCH(J459,Initial_Component_aggregator!H:H))))</f>
        <v xml:space="preserve"> </v>
      </c>
      <c r="L459" t="str" cm="1">
        <f t="array" ref="L459">IF(F459=0," ",IF(ISBLANK(INDEX(Initial_Component_aggregator!H:H,MATCH(F459,Initial_Component_aggregator!B:B))),E459,INDEX(Initial_Component_aggregator!J:J,MATCH(J459,Initial_Component_aggregator!H:H))))</f>
        <v xml:space="preserve"> </v>
      </c>
      <c r="M459" t="str" cm="1">
        <f t="array" ref="M459">IF(F459=0," ",IF(ISBLANK(INDEX(Initial_Component_aggregator!H:H,MATCH(F459,Initial_Component_aggregator!B:B))),F459,INDEX(Initial_Component_aggregator!K:K,MATCH(J459,Initial_Component_aggregator!H:H))))</f>
        <v xml:space="preserve"> </v>
      </c>
    </row>
    <row r="460" spans="1:13" ht="36" customHeight="1">
      <c r="A460"/>
      <c r="B460"/>
      <c r="C460"/>
      <c r="D460"/>
      <c r="E460"/>
      <c r="F460"/>
      <c r="G460"/>
      <c r="H460" t="str">
        <f t="shared" si="7"/>
        <v xml:space="preserve"> </v>
      </c>
      <c r="I460" t="str" cm="1">
        <f t="array" ref="I460">IF(F460=0," ",IF(ISBLANK(INDEX(Initial_Component_aggregator!F:F,MATCH(F460,Initial_Component_aggregator!B:B,0))),"No change",INDEX(Initial_Component_aggregator!F:F,MATCH(F460,Initial_Component_aggregator!B:B,0))))</f>
        <v xml:space="preserve"> </v>
      </c>
      <c r="J460" t="str" cm="1">
        <f t="array" ref="J460">IF(F460=0," ",IF(ISBLANK(INDEX(Initial_Component_aggregator!H:H,MATCH(F460,Initial_Component_aggregator!B:B,0))),F460,INDEX(Initial_Component_aggregator!H:H,MATCH(F460,Initial_Component_aggregator!B:B,0))))</f>
        <v xml:space="preserve"> </v>
      </c>
      <c r="K460" t="str" cm="1">
        <f t="array" ref="K460">IF(F460=0," ",IF(ISBLANK(INDEX(Initial_Component_aggregator!H:H,MATCH(F460,Initial_Component_aggregator!B:B))),D460,INDEX(Initial_Component_aggregator!I:I,MATCH(J460,Initial_Component_aggregator!H:H))))</f>
        <v xml:space="preserve"> </v>
      </c>
      <c r="L460" t="str" cm="1">
        <f t="array" ref="L460">IF(F460=0," ",IF(ISBLANK(INDEX(Initial_Component_aggregator!H:H,MATCH(F460,Initial_Component_aggregator!B:B))),E460,INDEX(Initial_Component_aggregator!J:J,MATCH(J460,Initial_Component_aggregator!H:H))))</f>
        <v xml:space="preserve"> </v>
      </c>
      <c r="M460" t="str" cm="1">
        <f t="array" ref="M460">IF(F460=0," ",IF(ISBLANK(INDEX(Initial_Component_aggregator!H:H,MATCH(F460,Initial_Component_aggregator!B:B))),F460,INDEX(Initial_Component_aggregator!K:K,MATCH(J460,Initial_Component_aggregator!H:H))))</f>
        <v xml:space="preserve"> </v>
      </c>
    </row>
    <row r="461" spans="1:13" ht="36" customHeight="1">
      <c r="A461"/>
      <c r="B461"/>
      <c r="C461"/>
      <c r="D461"/>
      <c r="E461"/>
      <c r="F461"/>
      <c r="G461"/>
      <c r="H461" t="str">
        <f t="shared" si="7"/>
        <v xml:space="preserve"> </v>
      </c>
      <c r="I461" t="str" cm="1">
        <f t="array" ref="I461">IF(F461=0," ",IF(ISBLANK(INDEX(Initial_Component_aggregator!F:F,MATCH(F461,Initial_Component_aggregator!B:B,0))),"No change",INDEX(Initial_Component_aggregator!F:F,MATCH(F461,Initial_Component_aggregator!B:B,0))))</f>
        <v xml:space="preserve"> </v>
      </c>
      <c r="J461" t="str" cm="1">
        <f t="array" ref="J461">IF(F461=0," ",IF(ISBLANK(INDEX(Initial_Component_aggregator!H:H,MATCH(F461,Initial_Component_aggregator!B:B,0))),F461,INDEX(Initial_Component_aggregator!H:H,MATCH(F461,Initial_Component_aggregator!B:B,0))))</f>
        <v xml:space="preserve"> </v>
      </c>
      <c r="K461" t="str" cm="1">
        <f t="array" ref="K461">IF(F461=0," ",IF(ISBLANK(INDEX(Initial_Component_aggregator!H:H,MATCH(F461,Initial_Component_aggregator!B:B))),D461,INDEX(Initial_Component_aggregator!I:I,MATCH(J461,Initial_Component_aggregator!H:H))))</f>
        <v xml:space="preserve"> </v>
      </c>
      <c r="L461" t="str" cm="1">
        <f t="array" ref="L461">IF(F461=0," ",IF(ISBLANK(INDEX(Initial_Component_aggregator!H:H,MATCH(F461,Initial_Component_aggregator!B:B))),E461,INDEX(Initial_Component_aggregator!J:J,MATCH(J461,Initial_Component_aggregator!H:H))))</f>
        <v xml:space="preserve"> </v>
      </c>
      <c r="M461" t="str" cm="1">
        <f t="array" ref="M461">IF(F461=0," ",IF(ISBLANK(INDEX(Initial_Component_aggregator!H:H,MATCH(F461,Initial_Component_aggregator!B:B))),F461,INDEX(Initial_Component_aggregator!K:K,MATCH(J461,Initial_Component_aggregator!H:H))))</f>
        <v xml:space="preserve"> </v>
      </c>
    </row>
    <row r="462" spans="1:13" ht="36" customHeight="1">
      <c r="A462"/>
      <c r="B462"/>
      <c r="C462"/>
      <c r="D462"/>
      <c r="E462"/>
      <c r="F462"/>
      <c r="G462"/>
      <c r="H462" t="str">
        <f t="shared" si="7"/>
        <v xml:space="preserve"> </v>
      </c>
      <c r="I462" t="str" cm="1">
        <f t="array" ref="I462">IF(F462=0," ",IF(ISBLANK(INDEX(Initial_Component_aggregator!F:F,MATCH(F462,Initial_Component_aggregator!B:B,0))),"No change",INDEX(Initial_Component_aggregator!F:F,MATCH(F462,Initial_Component_aggregator!B:B,0))))</f>
        <v xml:space="preserve"> </v>
      </c>
      <c r="J462" t="str" cm="1">
        <f t="array" ref="J462">IF(F462=0," ",IF(ISBLANK(INDEX(Initial_Component_aggregator!H:H,MATCH(F462,Initial_Component_aggregator!B:B,0))),F462,INDEX(Initial_Component_aggregator!H:H,MATCH(F462,Initial_Component_aggregator!B:B,0))))</f>
        <v xml:space="preserve"> </v>
      </c>
      <c r="K462" t="str" cm="1">
        <f t="array" ref="K462">IF(F462=0," ",IF(ISBLANK(INDEX(Initial_Component_aggregator!H:H,MATCH(F462,Initial_Component_aggregator!B:B))),D462,INDEX(Initial_Component_aggregator!I:I,MATCH(J462,Initial_Component_aggregator!H:H))))</f>
        <v xml:space="preserve"> </v>
      </c>
      <c r="L462" t="str" cm="1">
        <f t="array" ref="L462">IF(F462=0," ",IF(ISBLANK(INDEX(Initial_Component_aggregator!H:H,MATCH(F462,Initial_Component_aggregator!B:B))),E462,INDEX(Initial_Component_aggregator!J:J,MATCH(J462,Initial_Component_aggregator!H:H))))</f>
        <v xml:space="preserve"> </v>
      </c>
      <c r="M462" t="str" cm="1">
        <f t="array" ref="M462">IF(F462=0," ",IF(ISBLANK(INDEX(Initial_Component_aggregator!H:H,MATCH(F462,Initial_Component_aggregator!B:B))),F462,INDEX(Initial_Component_aggregator!K:K,MATCH(J462,Initial_Component_aggregator!H:H))))</f>
        <v xml:space="preserve"> </v>
      </c>
    </row>
    <row r="463" spans="1:13" ht="36" customHeight="1">
      <c r="A463"/>
      <c r="B463"/>
      <c r="C463"/>
      <c r="D463"/>
      <c r="E463"/>
      <c r="F463"/>
      <c r="G463"/>
      <c r="H463" t="str">
        <f t="shared" si="7"/>
        <v xml:space="preserve"> </v>
      </c>
      <c r="I463" t="str" cm="1">
        <f t="array" ref="I463">IF(F463=0," ",IF(ISBLANK(INDEX(Initial_Component_aggregator!F:F,MATCH(F463,Initial_Component_aggregator!B:B,0))),"No change",INDEX(Initial_Component_aggregator!F:F,MATCH(F463,Initial_Component_aggregator!B:B,0))))</f>
        <v xml:space="preserve"> </v>
      </c>
      <c r="J463" t="str" cm="1">
        <f t="array" ref="J463">IF(F463=0," ",IF(ISBLANK(INDEX(Initial_Component_aggregator!H:H,MATCH(F463,Initial_Component_aggregator!B:B,0))),F463,INDEX(Initial_Component_aggregator!H:H,MATCH(F463,Initial_Component_aggregator!B:B,0))))</f>
        <v xml:space="preserve"> </v>
      </c>
      <c r="K463" t="str" cm="1">
        <f t="array" ref="K463">IF(F463=0," ",IF(ISBLANK(INDEX(Initial_Component_aggregator!H:H,MATCH(F463,Initial_Component_aggregator!B:B))),D463,INDEX(Initial_Component_aggregator!I:I,MATCH(J463,Initial_Component_aggregator!H:H))))</f>
        <v xml:space="preserve"> </v>
      </c>
      <c r="L463" t="str" cm="1">
        <f t="array" ref="L463">IF(F463=0," ",IF(ISBLANK(INDEX(Initial_Component_aggregator!H:H,MATCH(F463,Initial_Component_aggregator!B:B))),E463,INDEX(Initial_Component_aggregator!J:J,MATCH(J463,Initial_Component_aggregator!H:H))))</f>
        <v xml:space="preserve"> </v>
      </c>
      <c r="M463" t="str" cm="1">
        <f t="array" ref="M463">IF(F463=0," ",IF(ISBLANK(INDEX(Initial_Component_aggregator!H:H,MATCH(F463,Initial_Component_aggregator!B:B))),F463,INDEX(Initial_Component_aggregator!K:K,MATCH(J463,Initial_Component_aggregator!H:H))))</f>
        <v xml:space="preserve"> </v>
      </c>
    </row>
    <row r="464" spans="1:13" ht="36" customHeight="1">
      <c r="A464"/>
      <c r="B464"/>
      <c r="C464"/>
      <c r="D464"/>
      <c r="E464"/>
      <c r="F464"/>
      <c r="G464"/>
      <c r="H464" t="str">
        <f t="shared" si="7"/>
        <v xml:space="preserve"> </v>
      </c>
      <c r="I464" t="str" cm="1">
        <f t="array" ref="I464">IF(F464=0," ",IF(ISBLANK(INDEX(Initial_Component_aggregator!F:F,MATCH(F464,Initial_Component_aggregator!B:B,0))),"No change",INDEX(Initial_Component_aggregator!F:F,MATCH(F464,Initial_Component_aggregator!B:B,0))))</f>
        <v xml:space="preserve"> </v>
      </c>
      <c r="J464" t="str" cm="1">
        <f t="array" ref="J464">IF(F464=0," ",IF(ISBLANK(INDEX(Initial_Component_aggregator!H:H,MATCH(F464,Initial_Component_aggregator!B:B,0))),F464,INDEX(Initial_Component_aggregator!H:H,MATCH(F464,Initial_Component_aggregator!B:B,0))))</f>
        <v xml:space="preserve"> </v>
      </c>
      <c r="K464" t="str" cm="1">
        <f t="array" ref="K464">IF(F464=0," ",IF(ISBLANK(INDEX(Initial_Component_aggregator!H:H,MATCH(F464,Initial_Component_aggregator!B:B))),D464,INDEX(Initial_Component_aggregator!I:I,MATCH(J464,Initial_Component_aggregator!H:H))))</f>
        <v xml:space="preserve"> </v>
      </c>
      <c r="L464" t="str" cm="1">
        <f t="array" ref="L464">IF(F464=0," ",IF(ISBLANK(INDEX(Initial_Component_aggregator!H:H,MATCH(F464,Initial_Component_aggregator!B:B))),E464,INDEX(Initial_Component_aggregator!J:J,MATCH(J464,Initial_Component_aggregator!H:H))))</f>
        <v xml:space="preserve"> </v>
      </c>
      <c r="M464" t="str" cm="1">
        <f t="array" ref="M464">IF(F464=0," ",IF(ISBLANK(INDEX(Initial_Component_aggregator!H:H,MATCH(F464,Initial_Component_aggregator!B:B))),F464,INDEX(Initial_Component_aggregator!K:K,MATCH(J464,Initial_Component_aggregator!H:H))))</f>
        <v xml:space="preserve"> </v>
      </c>
    </row>
    <row r="465" spans="1:13" ht="36" customHeight="1">
      <c r="A465"/>
      <c r="B465"/>
      <c r="C465"/>
      <c r="D465"/>
      <c r="E465"/>
      <c r="F465"/>
      <c r="G465"/>
      <c r="H465" t="str">
        <f t="shared" si="7"/>
        <v xml:space="preserve"> </v>
      </c>
      <c r="I465" t="str" cm="1">
        <f t="array" ref="I465">IF(F465=0," ",IF(ISBLANK(INDEX(Initial_Component_aggregator!F:F,MATCH(F465,Initial_Component_aggregator!B:B,0))),"No change",INDEX(Initial_Component_aggregator!F:F,MATCH(F465,Initial_Component_aggregator!B:B,0))))</f>
        <v xml:space="preserve"> </v>
      </c>
      <c r="J465" t="str" cm="1">
        <f t="array" ref="J465">IF(F465=0," ",IF(ISBLANK(INDEX(Initial_Component_aggregator!H:H,MATCH(F465,Initial_Component_aggregator!B:B,0))),F465,INDEX(Initial_Component_aggregator!H:H,MATCH(F465,Initial_Component_aggregator!B:B,0))))</f>
        <v xml:space="preserve"> </v>
      </c>
      <c r="K465" t="str" cm="1">
        <f t="array" ref="K465">IF(F465=0," ",IF(ISBLANK(INDEX(Initial_Component_aggregator!H:H,MATCH(F465,Initial_Component_aggregator!B:B))),D465,INDEX(Initial_Component_aggregator!I:I,MATCH(J465,Initial_Component_aggregator!H:H))))</f>
        <v xml:space="preserve"> </v>
      </c>
      <c r="L465" t="str" cm="1">
        <f t="array" ref="L465">IF(F465=0," ",IF(ISBLANK(INDEX(Initial_Component_aggregator!H:H,MATCH(F465,Initial_Component_aggregator!B:B))),E465,INDEX(Initial_Component_aggregator!J:J,MATCH(J465,Initial_Component_aggregator!H:H))))</f>
        <v xml:space="preserve"> </v>
      </c>
      <c r="M465" t="str" cm="1">
        <f t="array" ref="M465">IF(F465=0," ",IF(ISBLANK(INDEX(Initial_Component_aggregator!H:H,MATCH(F465,Initial_Component_aggregator!B:B))),F465,INDEX(Initial_Component_aggregator!K:K,MATCH(J465,Initial_Component_aggregator!H:H))))</f>
        <v xml:space="preserve"> </v>
      </c>
    </row>
    <row r="466" spans="1:13" ht="36" customHeight="1">
      <c r="A466"/>
      <c r="B466"/>
      <c r="C466"/>
      <c r="D466"/>
      <c r="E466"/>
      <c r="F466"/>
      <c r="G466"/>
      <c r="H466" t="str">
        <f t="shared" si="7"/>
        <v xml:space="preserve"> </v>
      </c>
      <c r="I466" t="str" cm="1">
        <f t="array" ref="I466">IF(F466=0," ",IF(ISBLANK(INDEX(Initial_Component_aggregator!F:F,MATCH(F466,Initial_Component_aggregator!B:B,0))),"No change",INDEX(Initial_Component_aggregator!F:F,MATCH(F466,Initial_Component_aggregator!B:B,0))))</f>
        <v xml:space="preserve"> </v>
      </c>
      <c r="J466" t="str" cm="1">
        <f t="array" ref="J466">IF(F466=0," ",IF(ISBLANK(INDEX(Initial_Component_aggregator!H:H,MATCH(F466,Initial_Component_aggregator!B:B,0))),F466,INDEX(Initial_Component_aggregator!H:H,MATCH(F466,Initial_Component_aggregator!B:B,0))))</f>
        <v xml:space="preserve"> </v>
      </c>
      <c r="K466" t="str" cm="1">
        <f t="array" ref="K466">IF(F466=0," ",IF(ISBLANK(INDEX(Initial_Component_aggregator!H:H,MATCH(F466,Initial_Component_aggregator!B:B))),D466,INDEX(Initial_Component_aggregator!I:I,MATCH(J466,Initial_Component_aggregator!H:H))))</f>
        <v xml:space="preserve"> </v>
      </c>
      <c r="L466" t="str" cm="1">
        <f t="array" ref="L466">IF(F466=0," ",IF(ISBLANK(INDEX(Initial_Component_aggregator!H:H,MATCH(F466,Initial_Component_aggregator!B:B))),E466,INDEX(Initial_Component_aggregator!J:J,MATCH(J466,Initial_Component_aggregator!H:H))))</f>
        <v xml:space="preserve"> </v>
      </c>
      <c r="M466" t="str" cm="1">
        <f t="array" ref="M466">IF(F466=0," ",IF(ISBLANK(INDEX(Initial_Component_aggregator!H:H,MATCH(F466,Initial_Component_aggregator!B:B))),F466,INDEX(Initial_Component_aggregator!K:K,MATCH(J466,Initial_Component_aggregator!H:H))))</f>
        <v xml:space="preserve"> </v>
      </c>
    </row>
    <row r="467" spans="1:13" ht="36" customHeight="1">
      <c r="A467"/>
      <c r="B467"/>
      <c r="C467"/>
      <c r="D467"/>
      <c r="E467"/>
      <c r="F467"/>
      <c r="G467"/>
      <c r="H467" t="str">
        <f t="shared" si="7"/>
        <v xml:space="preserve"> </v>
      </c>
      <c r="I467" t="str" cm="1">
        <f t="array" ref="I467">IF(F467=0," ",IF(ISBLANK(INDEX(Initial_Component_aggregator!F:F,MATCH(F467,Initial_Component_aggregator!B:B,0))),"No change",INDEX(Initial_Component_aggregator!F:F,MATCH(F467,Initial_Component_aggregator!B:B,0))))</f>
        <v xml:space="preserve"> </v>
      </c>
      <c r="J467" t="str" cm="1">
        <f t="array" ref="J467">IF(F467=0," ",IF(ISBLANK(INDEX(Initial_Component_aggregator!H:H,MATCH(F467,Initial_Component_aggregator!B:B,0))),F467,INDEX(Initial_Component_aggregator!H:H,MATCH(F467,Initial_Component_aggregator!B:B,0))))</f>
        <v xml:space="preserve"> </v>
      </c>
      <c r="K467" t="str" cm="1">
        <f t="array" ref="K467">IF(F467=0," ",IF(ISBLANK(INDEX(Initial_Component_aggregator!H:H,MATCH(F467,Initial_Component_aggregator!B:B))),D467,INDEX(Initial_Component_aggregator!I:I,MATCH(J467,Initial_Component_aggregator!H:H))))</f>
        <v xml:space="preserve"> </v>
      </c>
      <c r="L467" t="str" cm="1">
        <f t="array" ref="L467">IF(F467=0," ",IF(ISBLANK(INDEX(Initial_Component_aggregator!H:H,MATCH(F467,Initial_Component_aggregator!B:B))),E467,INDEX(Initial_Component_aggregator!J:J,MATCH(J467,Initial_Component_aggregator!H:H))))</f>
        <v xml:space="preserve"> </v>
      </c>
      <c r="M467" t="str" cm="1">
        <f t="array" ref="M467">IF(F467=0," ",IF(ISBLANK(INDEX(Initial_Component_aggregator!H:H,MATCH(F467,Initial_Component_aggregator!B:B))),F467,INDEX(Initial_Component_aggregator!K:K,MATCH(J467,Initial_Component_aggregator!H:H))))</f>
        <v xml:space="preserve"> </v>
      </c>
    </row>
    <row r="468" spans="1:13" ht="36" customHeight="1">
      <c r="A468"/>
      <c r="B468"/>
      <c r="C468"/>
      <c r="D468"/>
      <c r="E468"/>
      <c r="F468"/>
      <c r="G468"/>
      <c r="H468" t="str">
        <f t="shared" si="7"/>
        <v xml:space="preserve"> </v>
      </c>
      <c r="I468" t="str" cm="1">
        <f t="array" ref="I468">IF(F468=0," ",IF(ISBLANK(INDEX(Initial_Component_aggregator!F:F,MATCH(F468,Initial_Component_aggregator!B:B,0))),"No change",INDEX(Initial_Component_aggregator!F:F,MATCH(F468,Initial_Component_aggregator!B:B,0))))</f>
        <v xml:space="preserve"> </v>
      </c>
      <c r="J468" t="str" cm="1">
        <f t="array" ref="J468">IF(F468=0," ",IF(ISBLANK(INDEX(Initial_Component_aggregator!H:H,MATCH(F468,Initial_Component_aggregator!B:B,0))),F468,INDEX(Initial_Component_aggregator!H:H,MATCH(F468,Initial_Component_aggregator!B:B,0))))</f>
        <v xml:space="preserve"> </v>
      </c>
      <c r="K468" t="str" cm="1">
        <f t="array" ref="K468">IF(F468=0," ",IF(ISBLANK(INDEX(Initial_Component_aggregator!H:H,MATCH(F468,Initial_Component_aggregator!B:B))),D468,INDEX(Initial_Component_aggregator!I:I,MATCH(J468,Initial_Component_aggregator!H:H))))</f>
        <v xml:space="preserve"> </v>
      </c>
      <c r="L468" t="str" cm="1">
        <f t="array" ref="L468">IF(F468=0," ",IF(ISBLANK(INDEX(Initial_Component_aggregator!H:H,MATCH(F468,Initial_Component_aggregator!B:B))),E468,INDEX(Initial_Component_aggregator!J:J,MATCH(J468,Initial_Component_aggregator!H:H))))</f>
        <v xml:space="preserve"> </v>
      </c>
      <c r="M468" t="str" cm="1">
        <f t="array" ref="M468">IF(F468=0," ",IF(ISBLANK(INDEX(Initial_Component_aggregator!H:H,MATCH(F468,Initial_Component_aggregator!B:B))),F468,INDEX(Initial_Component_aggregator!K:K,MATCH(J468,Initial_Component_aggregator!H:H))))</f>
        <v xml:space="preserve"> </v>
      </c>
    </row>
    <row r="469" spans="1:13" ht="36" customHeight="1">
      <c r="A469"/>
      <c r="B469"/>
      <c r="C469"/>
      <c r="D469"/>
      <c r="E469"/>
      <c r="F469"/>
      <c r="G469"/>
      <c r="H469" t="str">
        <f t="shared" si="7"/>
        <v xml:space="preserve"> </v>
      </c>
      <c r="I469" t="str" cm="1">
        <f t="array" ref="I469">IF(F469=0," ",IF(ISBLANK(INDEX(Initial_Component_aggregator!F:F,MATCH(F469,Initial_Component_aggregator!B:B,0))),"No change",INDEX(Initial_Component_aggregator!F:F,MATCH(F469,Initial_Component_aggregator!B:B,0))))</f>
        <v xml:space="preserve"> </v>
      </c>
      <c r="J469" t="str" cm="1">
        <f t="array" ref="J469">IF(F469=0," ",IF(ISBLANK(INDEX(Initial_Component_aggregator!H:H,MATCH(F469,Initial_Component_aggregator!B:B,0))),F469,INDEX(Initial_Component_aggregator!H:H,MATCH(F469,Initial_Component_aggregator!B:B,0))))</f>
        <v xml:space="preserve"> </v>
      </c>
      <c r="K469" t="str" cm="1">
        <f t="array" ref="K469">IF(F469=0," ",IF(ISBLANK(INDEX(Initial_Component_aggregator!H:H,MATCH(F469,Initial_Component_aggregator!B:B))),D469,INDEX(Initial_Component_aggregator!I:I,MATCH(J469,Initial_Component_aggregator!H:H))))</f>
        <v xml:space="preserve"> </v>
      </c>
      <c r="L469" t="str" cm="1">
        <f t="array" ref="L469">IF(F469=0," ",IF(ISBLANK(INDEX(Initial_Component_aggregator!H:H,MATCH(F469,Initial_Component_aggregator!B:B))),E469,INDEX(Initial_Component_aggregator!J:J,MATCH(J469,Initial_Component_aggregator!H:H))))</f>
        <v xml:space="preserve"> </v>
      </c>
      <c r="M469" t="str" cm="1">
        <f t="array" ref="M469">IF(F469=0," ",IF(ISBLANK(INDEX(Initial_Component_aggregator!H:H,MATCH(F469,Initial_Component_aggregator!B:B))),F469,INDEX(Initial_Component_aggregator!K:K,MATCH(J469,Initial_Component_aggregator!H:H))))</f>
        <v xml:space="preserve"> </v>
      </c>
    </row>
    <row r="470" spans="1:13" ht="36" customHeight="1">
      <c r="A470"/>
      <c r="B470"/>
      <c r="C470"/>
      <c r="D470"/>
      <c r="E470"/>
      <c r="F470"/>
      <c r="G470"/>
      <c r="H470" t="str">
        <f t="shared" si="7"/>
        <v xml:space="preserve"> </v>
      </c>
      <c r="I470" t="str" cm="1">
        <f t="array" ref="I470">IF(F470=0," ",IF(ISBLANK(INDEX(Initial_Component_aggregator!F:F,MATCH(F470,Initial_Component_aggregator!B:B,0))),"No change",INDEX(Initial_Component_aggregator!F:F,MATCH(F470,Initial_Component_aggregator!B:B,0))))</f>
        <v xml:space="preserve"> </v>
      </c>
      <c r="J470" t="str" cm="1">
        <f t="array" ref="J470">IF(F470=0," ",IF(ISBLANK(INDEX(Initial_Component_aggregator!H:H,MATCH(F470,Initial_Component_aggregator!B:B,0))),F470,INDEX(Initial_Component_aggregator!H:H,MATCH(F470,Initial_Component_aggregator!B:B,0))))</f>
        <v xml:space="preserve"> </v>
      </c>
      <c r="K470" t="str" cm="1">
        <f t="array" ref="K470">IF(F470=0," ",IF(ISBLANK(INDEX(Initial_Component_aggregator!H:H,MATCH(F470,Initial_Component_aggregator!B:B))),D470,INDEX(Initial_Component_aggregator!I:I,MATCH(J470,Initial_Component_aggregator!H:H))))</f>
        <v xml:space="preserve"> </v>
      </c>
      <c r="L470" t="str" cm="1">
        <f t="array" ref="L470">IF(F470=0," ",IF(ISBLANK(INDEX(Initial_Component_aggregator!H:H,MATCH(F470,Initial_Component_aggregator!B:B))),E470,INDEX(Initial_Component_aggregator!J:J,MATCH(J470,Initial_Component_aggregator!H:H))))</f>
        <v xml:space="preserve"> </v>
      </c>
      <c r="M470" t="str" cm="1">
        <f t="array" ref="M470">IF(F470=0," ",IF(ISBLANK(INDEX(Initial_Component_aggregator!H:H,MATCH(F470,Initial_Component_aggregator!B:B))),F470,INDEX(Initial_Component_aggregator!K:K,MATCH(J470,Initial_Component_aggregator!H:H))))</f>
        <v xml:space="preserve"> </v>
      </c>
    </row>
    <row r="471" spans="1:13" ht="36" customHeight="1">
      <c r="A471"/>
      <c r="B471"/>
      <c r="C471"/>
      <c r="D471"/>
      <c r="E471"/>
      <c r="F471"/>
      <c r="G471"/>
      <c r="H471" t="str">
        <f t="shared" si="7"/>
        <v xml:space="preserve"> </v>
      </c>
      <c r="I471" t="str" cm="1">
        <f t="array" ref="I471">IF(F471=0," ",IF(ISBLANK(INDEX(Initial_Component_aggregator!F:F,MATCH(F471,Initial_Component_aggregator!B:B,0))),"No change",INDEX(Initial_Component_aggregator!F:F,MATCH(F471,Initial_Component_aggregator!B:B,0))))</f>
        <v xml:space="preserve"> </v>
      </c>
      <c r="J471" t="str" cm="1">
        <f t="array" ref="J471">IF(F471=0," ",IF(ISBLANK(INDEX(Initial_Component_aggregator!H:H,MATCH(F471,Initial_Component_aggregator!B:B,0))),F471,INDEX(Initial_Component_aggregator!H:H,MATCH(F471,Initial_Component_aggregator!B:B,0))))</f>
        <v xml:space="preserve"> </v>
      </c>
      <c r="K471" t="str" cm="1">
        <f t="array" ref="K471">IF(F471=0," ",IF(ISBLANK(INDEX(Initial_Component_aggregator!H:H,MATCH(F471,Initial_Component_aggregator!B:B))),D471,INDEX(Initial_Component_aggregator!I:I,MATCH(J471,Initial_Component_aggregator!H:H))))</f>
        <v xml:space="preserve"> </v>
      </c>
      <c r="L471" t="str" cm="1">
        <f t="array" ref="L471">IF(F471=0," ",IF(ISBLANK(INDEX(Initial_Component_aggregator!H:H,MATCH(F471,Initial_Component_aggregator!B:B))),E471,INDEX(Initial_Component_aggregator!J:J,MATCH(J471,Initial_Component_aggregator!H:H))))</f>
        <v xml:space="preserve"> </v>
      </c>
      <c r="M471" t="str" cm="1">
        <f t="array" ref="M471">IF(F471=0," ",IF(ISBLANK(INDEX(Initial_Component_aggregator!H:H,MATCH(F471,Initial_Component_aggregator!B:B))),F471,INDEX(Initial_Component_aggregator!K:K,MATCH(J471,Initial_Component_aggregator!H:H))))</f>
        <v xml:space="preserve"> </v>
      </c>
    </row>
    <row r="472" spans="1:13" ht="36" customHeight="1">
      <c r="A472"/>
      <c r="B472"/>
      <c r="C472"/>
      <c r="D472"/>
      <c r="E472"/>
      <c r="F472"/>
      <c r="G472"/>
      <c r="H472" t="str">
        <f t="shared" si="7"/>
        <v xml:space="preserve"> </v>
      </c>
      <c r="I472" t="str" cm="1">
        <f t="array" ref="I472">IF(F472=0," ",IF(ISBLANK(INDEX(Initial_Component_aggregator!F:F,MATCH(F472,Initial_Component_aggregator!B:B,0))),"No change",INDEX(Initial_Component_aggregator!F:F,MATCH(F472,Initial_Component_aggregator!B:B,0))))</f>
        <v xml:space="preserve"> </v>
      </c>
      <c r="J472" t="str" cm="1">
        <f t="array" ref="J472">IF(F472=0," ",IF(ISBLANK(INDEX(Initial_Component_aggregator!H:H,MATCH(F472,Initial_Component_aggregator!B:B,0))),F472,INDEX(Initial_Component_aggregator!H:H,MATCH(F472,Initial_Component_aggregator!B:B,0))))</f>
        <v xml:space="preserve"> </v>
      </c>
      <c r="K472" t="str" cm="1">
        <f t="array" ref="K472">IF(F472=0," ",IF(ISBLANK(INDEX(Initial_Component_aggregator!H:H,MATCH(F472,Initial_Component_aggregator!B:B))),D472,INDEX(Initial_Component_aggregator!I:I,MATCH(J472,Initial_Component_aggregator!H:H))))</f>
        <v xml:space="preserve"> </v>
      </c>
      <c r="L472" t="str" cm="1">
        <f t="array" ref="L472">IF(F472=0," ",IF(ISBLANK(INDEX(Initial_Component_aggregator!H:H,MATCH(F472,Initial_Component_aggregator!B:B))),E472,INDEX(Initial_Component_aggregator!J:J,MATCH(J472,Initial_Component_aggregator!H:H))))</f>
        <v xml:space="preserve"> </v>
      </c>
      <c r="M472" t="str" cm="1">
        <f t="array" ref="M472">IF(F472=0," ",IF(ISBLANK(INDEX(Initial_Component_aggregator!H:H,MATCH(F472,Initial_Component_aggregator!B:B))),F472,INDEX(Initial_Component_aggregator!K:K,MATCH(J472,Initial_Component_aggregator!H:H))))</f>
        <v xml:space="preserve"> </v>
      </c>
    </row>
    <row r="473" spans="1:13" ht="36" customHeight="1">
      <c r="A473"/>
      <c r="B473"/>
      <c r="C473"/>
      <c r="D473"/>
      <c r="E473"/>
      <c r="F473"/>
      <c r="G473"/>
      <c r="H473" t="str">
        <f t="shared" si="7"/>
        <v xml:space="preserve"> </v>
      </c>
      <c r="I473" t="str" cm="1">
        <f t="array" ref="I473">IF(F473=0," ",IF(ISBLANK(INDEX(Initial_Component_aggregator!F:F,MATCH(F473,Initial_Component_aggregator!B:B,0))),"No change",INDEX(Initial_Component_aggregator!F:F,MATCH(F473,Initial_Component_aggregator!B:B,0))))</f>
        <v xml:space="preserve"> </v>
      </c>
      <c r="J473" t="str" cm="1">
        <f t="array" ref="J473">IF(F473=0," ",IF(ISBLANK(INDEX(Initial_Component_aggregator!H:H,MATCH(F473,Initial_Component_aggregator!B:B,0))),F473,INDEX(Initial_Component_aggregator!H:H,MATCH(F473,Initial_Component_aggregator!B:B,0))))</f>
        <v xml:space="preserve"> </v>
      </c>
      <c r="K473" t="str" cm="1">
        <f t="array" ref="K473">IF(F473=0," ",IF(ISBLANK(INDEX(Initial_Component_aggregator!H:H,MATCH(F473,Initial_Component_aggregator!B:B))),D473,INDEX(Initial_Component_aggregator!I:I,MATCH(J473,Initial_Component_aggregator!H:H))))</f>
        <v xml:space="preserve"> </v>
      </c>
      <c r="L473" t="str" cm="1">
        <f t="array" ref="L473">IF(F473=0," ",IF(ISBLANK(INDEX(Initial_Component_aggregator!H:H,MATCH(F473,Initial_Component_aggregator!B:B))),E473,INDEX(Initial_Component_aggregator!J:J,MATCH(J473,Initial_Component_aggregator!H:H))))</f>
        <v xml:space="preserve"> </v>
      </c>
      <c r="M473" t="str" cm="1">
        <f t="array" ref="M473">IF(F473=0," ",IF(ISBLANK(INDEX(Initial_Component_aggregator!H:H,MATCH(F473,Initial_Component_aggregator!B:B))),F473,INDEX(Initial_Component_aggregator!K:K,MATCH(J473,Initial_Component_aggregator!H:H))))</f>
        <v xml:space="preserve"> </v>
      </c>
    </row>
    <row r="474" spans="1:13" ht="36" customHeight="1">
      <c r="A474"/>
      <c r="B474"/>
      <c r="C474"/>
      <c r="D474"/>
      <c r="E474"/>
      <c r="F474"/>
      <c r="G474"/>
      <c r="H474" t="str">
        <f t="shared" si="7"/>
        <v xml:space="preserve"> </v>
      </c>
      <c r="I474" t="str" cm="1">
        <f t="array" ref="I474">IF(F474=0," ",IF(ISBLANK(INDEX(Initial_Component_aggregator!F:F,MATCH(F474,Initial_Component_aggregator!B:B,0))),"No change",INDEX(Initial_Component_aggregator!F:F,MATCH(F474,Initial_Component_aggregator!B:B,0))))</f>
        <v xml:space="preserve"> </v>
      </c>
      <c r="J474" t="str" cm="1">
        <f t="array" ref="J474">IF(F474=0," ",IF(ISBLANK(INDEX(Initial_Component_aggregator!H:H,MATCH(F474,Initial_Component_aggregator!B:B,0))),F474,INDEX(Initial_Component_aggregator!H:H,MATCH(F474,Initial_Component_aggregator!B:B,0))))</f>
        <v xml:space="preserve"> </v>
      </c>
      <c r="K474" t="str" cm="1">
        <f t="array" ref="K474">IF(F474=0," ",IF(ISBLANK(INDEX(Initial_Component_aggregator!H:H,MATCH(F474,Initial_Component_aggregator!B:B))),D474,INDEX(Initial_Component_aggregator!I:I,MATCH(J474,Initial_Component_aggregator!H:H))))</f>
        <v xml:space="preserve"> </v>
      </c>
      <c r="L474" t="str" cm="1">
        <f t="array" ref="L474">IF(F474=0," ",IF(ISBLANK(INDEX(Initial_Component_aggregator!H:H,MATCH(F474,Initial_Component_aggregator!B:B))),E474,INDEX(Initial_Component_aggregator!J:J,MATCH(J474,Initial_Component_aggregator!H:H))))</f>
        <v xml:space="preserve"> </v>
      </c>
      <c r="M474" t="str" cm="1">
        <f t="array" ref="M474">IF(F474=0," ",IF(ISBLANK(INDEX(Initial_Component_aggregator!H:H,MATCH(F474,Initial_Component_aggregator!B:B))),F474,INDEX(Initial_Component_aggregator!K:K,MATCH(J474,Initial_Component_aggregator!H:H))))</f>
        <v xml:space="preserve"> </v>
      </c>
    </row>
    <row r="475" spans="1:13" ht="36" customHeight="1">
      <c r="A475"/>
      <c r="B475"/>
      <c r="C475"/>
      <c r="D475"/>
      <c r="E475"/>
      <c r="F475"/>
      <c r="G475"/>
      <c r="H475" t="str">
        <f t="shared" si="7"/>
        <v xml:space="preserve"> </v>
      </c>
      <c r="I475" t="str" cm="1">
        <f t="array" ref="I475">IF(F475=0," ",IF(ISBLANK(INDEX(Initial_Component_aggregator!F:F,MATCH(F475,Initial_Component_aggregator!B:B,0))),"No change",INDEX(Initial_Component_aggregator!F:F,MATCH(F475,Initial_Component_aggregator!B:B,0))))</f>
        <v xml:space="preserve"> </v>
      </c>
      <c r="J475" t="str" cm="1">
        <f t="array" ref="J475">IF(F475=0," ",IF(ISBLANK(INDEX(Initial_Component_aggregator!H:H,MATCH(F475,Initial_Component_aggregator!B:B,0))),F475,INDEX(Initial_Component_aggregator!H:H,MATCH(F475,Initial_Component_aggregator!B:B,0))))</f>
        <v xml:space="preserve"> </v>
      </c>
      <c r="K475" t="str" cm="1">
        <f t="array" ref="K475">IF(F475=0," ",IF(ISBLANK(INDEX(Initial_Component_aggregator!H:H,MATCH(F475,Initial_Component_aggregator!B:B))),D475,INDEX(Initial_Component_aggregator!I:I,MATCH(J475,Initial_Component_aggregator!H:H))))</f>
        <v xml:space="preserve"> </v>
      </c>
      <c r="L475" t="str" cm="1">
        <f t="array" ref="L475">IF(F475=0," ",IF(ISBLANK(INDEX(Initial_Component_aggregator!H:H,MATCH(F475,Initial_Component_aggregator!B:B))),E475,INDEX(Initial_Component_aggregator!J:J,MATCH(J475,Initial_Component_aggregator!H:H))))</f>
        <v xml:space="preserve"> </v>
      </c>
      <c r="M475" t="str" cm="1">
        <f t="array" ref="M475">IF(F475=0," ",IF(ISBLANK(INDEX(Initial_Component_aggregator!H:H,MATCH(F475,Initial_Component_aggregator!B:B))),F475,INDEX(Initial_Component_aggregator!K:K,MATCH(J475,Initial_Component_aggregator!H:H))))</f>
        <v xml:space="preserve"> </v>
      </c>
    </row>
    <row r="476" spans="1:13" ht="36" customHeight="1">
      <c r="A476"/>
      <c r="B476"/>
      <c r="C476"/>
      <c r="D476"/>
      <c r="E476"/>
      <c r="F476"/>
      <c r="G476"/>
      <c r="H476" t="str">
        <f t="shared" si="7"/>
        <v xml:space="preserve"> </v>
      </c>
      <c r="I476" t="str" cm="1">
        <f t="array" ref="I476">IF(F476=0," ",IF(ISBLANK(INDEX(Initial_Component_aggregator!F:F,MATCH(F476,Initial_Component_aggregator!B:B,0))),"No change",INDEX(Initial_Component_aggregator!F:F,MATCH(F476,Initial_Component_aggregator!B:B,0))))</f>
        <v xml:space="preserve"> </v>
      </c>
      <c r="J476" t="str" cm="1">
        <f t="array" ref="J476">IF(F476=0," ",IF(ISBLANK(INDEX(Initial_Component_aggregator!H:H,MATCH(F476,Initial_Component_aggregator!B:B,0))),F476,INDEX(Initial_Component_aggregator!H:H,MATCH(F476,Initial_Component_aggregator!B:B,0))))</f>
        <v xml:space="preserve"> </v>
      </c>
      <c r="K476" t="str" cm="1">
        <f t="array" ref="K476">IF(F476=0," ",IF(ISBLANK(INDEX(Initial_Component_aggregator!H:H,MATCH(F476,Initial_Component_aggregator!B:B))),D476,INDEX(Initial_Component_aggregator!I:I,MATCH(J476,Initial_Component_aggregator!H:H))))</f>
        <v xml:space="preserve"> </v>
      </c>
      <c r="L476" t="str" cm="1">
        <f t="array" ref="L476">IF(F476=0," ",IF(ISBLANK(INDEX(Initial_Component_aggregator!H:H,MATCH(F476,Initial_Component_aggregator!B:B))),E476,INDEX(Initial_Component_aggregator!J:J,MATCH(J476,Initial_Component_aggregator!H:H))))</f>
        <v xml:space="preserve"> </v>
      </c>
      <c r="M476" t="str" cm="1">
        <f t="array" ref="M476">IF(F476=0," ",IF(ISBLANK(INDEX(Initial_Component_aggregator!H:H,MATCH(F476,Initial_Component_aggregator!B:B))),F476,INDEX(Initial_Component_aggregator!K:K,MATCH(J476,Initial_Component_aggregator!H:H))))</f>
        <v xml:space="preserve"> </v>
      </c>
    </row>
    <row r="477" spans="1:13" ht="36" customHeight="1">
      <c r="A477"/>
      <c r="B477"/>
      <c r="C477"/>
      <c r="D477"/>
      <c r="E477"/>
      <c r="F477"/>
      <c r="G477"/>
      <c r="H477" t="str">
        <f t="shared" si="7"/>
        <v xml:space="preserve"> </v>
      </c>
      <c r="I477" t="str" cm="1">
        <f t="array" ref="I477">IF(F477=0," ",IF(ISBLANK(INDEX(Initial_Component_aggregator!F:F,MATCH(F477,Initial_Component_aggregator!B:B,0))),"No change",INDEX(Initial_Component_aggregator!F:F,MATCH(F477,Initial_Component_aggregator!B:B,0))))</f>
        <v xml:space="preserve"> </v>
      </c>
      <c r="J477" t="str" cm="1">
        <f t="array" ref="J477">IF(F477=0," ",IF(ISBLANK(INDEX(Initial_Component_aggregator!H:H,MATCH(F477,Initial_Component_aggregator!B:B,0))),F477,INDEX(Initial_Component_aggregator!H:H,MATCH(F477,Initial_Component_aggregator!B:B,0))))</f>
        <v xml:space="preserve"> </v>
      </c>
      <c r="K477" t="str" cm="1">
        <f t="array" ref="K477">IF(F477=0," ",IF(ISBLANK(INDEX(Initial_Component_aggregator!H:H,MATCH(F477,Initial_Component_aggregator!B:B))),D477,INDEX(Initial_Component_aggregator!I:I,MATCH(J477,Initial_Component_aggregator!H:H))))</f>
        <v xml:space="preserve"> </v>
      </c>
      <c r="L477" t="str" cm="1">
        <f t="array" ref="L477">IF(F477=0," ",IF(ISBLANK(INDEX(Initial_Component_aggregator!H:H,MATCH(F477,Initial_Component_aggregator!B:B))),E477,INDEX(Initial_Component_aggregator!J:J,MATCH(J477,Initial_Component_aggregator!H:H))))</f>
        <v xml:space="preserve"> </v>
      </c>
      <c r="M477" t="str" cm="1">
        <f t="array" ref="M477">IF(F477=0," ",IF(ISBLANK(INDEX(Initial_Component_aggregator!H:H,MATCH(F477,Initial_Component_aggregator!B:B))),F477,INDEX(Initial_Component_aggregator!K:K,MATCH(J477,Initial_Component_aggregator!H:H))))</f>
        <v xml:space="preserve"> </v>
      </c>
    </row>
    <row r="478" spans="1:13" ht="36" customHeight="1">
      <c r="A478"/>
      <c r="B478"/>
      <c r="C478"/>
      <c r="D478"/>
      <c r="E478"/>
      <c r="F478"/>
      <c r="G478"/>
      <c r="H478" t="str">
        <f t="shared" si="7"/>
        <v xml:space="preserve"> </v>
      </c>
      <c r="I478" t="str" cm="1">
        <f t="array" ref="I478">IF(F478=0," ",IF(ISBLANK(INDEX(Initial_Component_aggregator!F:F,MATCH(F478,Initial_Component_aggregator!B:B,0))),"No change",INDEX(Initial_Component_aggregator!F:F,MATCH(F478,Initial_Component_aggregator!B:B,0))))</f>
        <v xml:space="preserve"> </v>
      </c>
      <c r="J478" t="str" cm="1">
        <f t="array" ref="J478">IF(F478=0," ",IF(ISBLANK(INDEX(Initial_Component_aggregator!H:H,MATCH(F478,Initial_Component_aggregator!B:B,0))),F478,INDEX(Initial_Component_aggregator!H:H,MATCH(F478,Initial_Component_aggregator!B:B,0))))</f>
        <v xml:space="preserve"> </v>
      </c>
      <c r="K478" t="str" cm="1">
        <f t="array" ref="K478">IF(F478=0," ",IF(ISBLANK(INDEX(Initial_Component_aggregator!H:H,MATCH(F478,Initial_Component_aggregator!B:B))),D478,INDEX(Initial_Component_aggregator!I:I,MATCH(J478,Initial_Component_aggregator!H:H))))</f>
        <v xml:space="preserve"> </v>
      </c>
      <c r="L478" t="str" cm="1">
        <f t="array" ref="L478">IF(F478=0," ",IF(ISBLANK(INDEX(Initial_Component_aggregator!H:H,MATCH(F478,Initial_Component_aggregator!B:B))),E478,INDEX(Initial_Component_aggregator!J:J,MATCH(J478,Initial_Component_aggregator!H:H))))</f>
        <v xml:space="preserve"> </v>
      </c>
      <c r="M478" t="str" cm="1">
        <f t="array" ref="M478">IF(F478=0," ",IF(ISBLANK(INDEX(Initial_Component_aggregator!H:H,MATCH(F478,Initial_Component_aggregator!B:B))),F478,INDEX(Initial_Component_aggregator!K:K,MATCH(J478,Initial_Component_aggregator!H:H))))</f>
        <v xml:space="preserve"> </v>
      </c>
    </row>
    <row r="479" spans="1:13" ht="36" customHeight="1">
      <c r="A479"/>
      <c r="B479"/>
      <c r="C479"/>
      <c r="D479"/>
      <c r="E479"/>
      <c r="F479"/>
      <c r="G479"/>
      <c r="H479" t="str">
        <f t="shared" si="7"/>
        <v xml:space="preserve"> </v>
      </c>
      <c r="I479" t="str" cm="1">
        <f t="array" ref="I479">IF(F479=0," ",IF(ISBLANK(INDEX(Initial_Component_aggregator!F:F,MATCH(F479,Initial_Component_aggregator!B:B,0))),"No change",INDEX(Initial_Component_aggregator!F:F,MATCH(F479,Initial_Component_aggregator!B:B,0))))</f>
        <v xml:space="preserve"> </v>
      </c>
      <c r="J479" t="str" cm="1">
        <f t="array" ref="J479">IF(F479=0," ",IF(ISBLANK(INDEX(Initial_Component_aggregator!H:H,MATCH(F479,Initial_Component_aggregator!B:B,0))),F479,INDEX(Initial_Component_aggregator!H:H,MATCH(F479,Initial_Component_aggregator!B:B,0))))</f>
        <v xml:space="preserve"> </v>
      </c>
      <c r="K479" t="str" cm="1">
        <f t="array" ref="K479">IF(F479=0," ",IF(ISBLANK(INDEX(Initial_Component_aggregator!H:H,MATCH(F479,Initial_Component_aggregator!B:B))),D479,INDEX(Initial_Component_aggregator!I:I,MATCH(J479,Initial_Component_aggregator!H:H))))</f>
        <v xml:space="preserve"> </v>
      </c>
      <c r="L479" t="str" cm="1">
        <f t="array" ref="L479">IF(F479=0," ",IF(ISBLANK(INDEX(Initial_Component_aggregator!H:H,MATCH(F479,Initial_Component_aggregator!B:B))),E479,INDEX(Initial_Component_aggregator!J:J,MATCH(J479,Initial_Component_aggregator!H:H))))</f>
        <v xml:space="preserve"> </v>
      </c>
      <c r="M479" t="str" cm="1">
        <f t="array" ref="M479">IF(F479=0," ",IF(ISBLANK(INDEX(Initial_Component_aggregator!H:H,MATCH(F479,Initial_Component_aggregator!B:B))),F479,INDEX(Initial_Component_aggregator!K:K,MATCH(J479,Initial_Component_aggregator!H:H))))</f>
        <v xml:space="preserve"> </v>
      </c>
    </row>
    <row r="480" spans="1:13" ht="36" customHeight="1">
      <c r="A480"/>
      <c r="B480"/>
      <c r="C480"/>
      <c r="D480"/>
      <c r="E480"/>
      <c r="F480"/>
      <c r="G480"/>
      <c r="H480" t="str">
        <f t="shared" si="7"/>
        <v xml:space="preserve"> </v>
      </c>
      <c r="I480" t="str" cm="1">
        <f t="array" ref="I480">IF(F480=0," ",IF(ISBLANK(INDEX(Initial_Component_aggregator!F:F,MATCH(F480,Initial_Component_aggregator!B:B,0))),"No change",INDEX(Initial_Component_aggregator!F:F,MATCH(F480,Initial_Component_aggregator!B:B,0))))</f>
        <v xml:space="preserve"> </v>
      </c>
      <c r="J480" t="str" cm="1">
        <f t="array" ref="J480">IF(F480=0," ",IF(ISBLANK(INDEX(Initial_Component_aggregator!H:H,MATCH(F480,Initial_Component_aggregator!B:B,0))),F480,INDEX(Initial_Component_aggregator!H:H,MATCH(F480,Initial_Component_aggregator!B:B,0))))</f>
        <v xml:space="preserve"> </v>
      </c>
      <c r="K480" t="str" cm="1">
        <f t="array" ref="K480">IF(F480=0," ",IF(ISBLANK(INDEX(Initial_Component_aggregator!H:H,MATCH(F480,Initial_Component_aggregator!B:B))),D480,INDEX(Initial_Component_aggregator!I:I,MATCH(J480,Initial_Component_aggregator!H:H))))</f>
        <v xml:space="preserve"> </v>
      </c>
      <c r="L480" t="str" cm="1">
        <f t="array" ref="L480">IF(F480=0," ",IF(ISBLANK(INDEX(Initial_Component_aggregator!H:H,MATCH(F480,Initial_Component_aggregator!B:B))),E480,INDEX(Initial_Component_aggregator!J:J,MATCH(J480,Initial_Component_aggregator!H:H))))</f>
        <v xml:space="preserve"> </v>
      </c>
      <c r="M480" t="str" cm="1">
        <f t="array" ref="M480">IF(F480=0," ",IF(ISBLANK(INDEX(Initial_Component_aggregator!H:H,MATCH(F480,Initial_Component_aggregator!B:B))),F480,INDEX(Initial_Component_aggregator!K:K,MATCH(J480,Initial_Component_aggregator!H:H))))</f>
        <v xml:space="preserve"> </v>
      </c>
    </row>
    <row r="481" spans="1:13" ht="36" customHeight="1">
      <c r="A481"/>
      <c r="B481"/>
      <c r="C481"/>
      <c r="D481"/>
      <c r="E481"/>
      <c r="F481"/>
      <c r="G481"/>
      <c r="H481" t="str">
        <f t="shared" si="7"/>
        <v xml:space="preserve"> </v>
      </c>
      <c r="I481" t="str" cm="1">
        <f t="array" ref="I481">IF(F481=0," ",IF(ISBLANK(INDEX(Initial_Component_aggregator!F:F,MATCH(F481,Initial_Component_aggregator!B:B,0))),"No change",INDEX(Initial_Component_aggregator!F:F,MATCH(F481,Initial_Component_aggregator!B:B,0))))</f>
        <v xml:space="preserve"> </v>
      </c>
      <c r="J481" t="str" cm="1">
        <f t="array" ref="J481">IF(F481=0," ",IF(ISBLANK(INDEX(Initial_Component_aggregator!H:H,MATCH(F481,Initial_Component_aggregator!B:B,0))),F481,INDEX(Initial_Component_aggregator!H:H,MATCH(F481,Initial_Component_aggregator!B:B,0))))</f>
        <v xml:space="preserve"> </v>
      </c>
      <c r="K481" t="str" cm="1">
        <f t="array" ref="K481">IF(F481=0," ",IF(ISBLANK(INDEX(Initial_Component_aggregator!H:H,MATCH(F481,Initial_Component_aggregator!B:B))),D481,INDEX(Initial_Component_aggregator!I:I,MATCH(J481,Initial_Component_aggregator!H:H))))</f>
        <v xml:space="preserve"> </v>
      </c>
      <c r="L481" t="str" cm="1">
        <f t="array" ref="L481">IF(F481=0," ",IF(ISBLANK(INDEX(Initial_Component_aggregator!H:H,MATCH(F481,Initial_Component_aggregator!B:B))),E481,INDEX(Initial_Component_aggregator!J:J,MATCH(J481,Initial_Component_aggregator!H:H))))</f>
        <v xml:space="preserve"> </v>
      </c>
      <c r="M481" t="str" cm="1">
        <f t="array" ref="M481">IF(F481=0," ",IF(ISBLANK(INDEX(Initial_Component_aggregator!H:H,MATCH(F481,Initial_Component_aggregator!B:B))),F481,INDEX(Initial_Component_aggregator!K:K,MATCH(J481,Initial_Component_aggregator!H:H))))</f>
        <v xml:space="preserve"> </v>
      </c>
    </row>
    <row r="482" spans="1:13" ht="36" customHeight="1">
      <c r="A482"/>
      <c r="B482"/>
      <c r="C482"/>
      <c r="D482"/>
      <c r="E482"/>
      <c r="F482"/>
      <c r="G482"/>
      <c r="H482" t="str">
        <f t="shared" si="7"/>
        <v xml:space="preserve"> </v>
      </c>
      <c r="I482" t="str" cm="1">
        <f t="array" ref="I482">IF(F482=0," ",IF(ISBLANK(INDEX(Initial_Component_aggregator!F:F,MATCH(F482,Initial_Component_aggregator!B:B,0))),"No change",INDEX(Initial_Component_aggregator!F:F,MATCH(F482,Initial_Component_aggregator!B:B,0))))</f>
        <v xml:space="preserve"> </v>
      </c>
      <c r="J482" t="str" cm="1">
        <f t="array" ref="J482">IF(F482=0," ",IF(ISBLANK(INDEX(Initial_Component_aggregator!H:H,MATCH(F482,Initial_Component_aggregator!B:B,0))),F482,INDEX(Initial_Component_aggregator!H:H,MATCH(F482,Initial_Component_aggregator!B:B,0))))</f>
        <v xml:space="preserve"> </v>
      </c>
      <c r="K482" t="str" cm="1">
        <f t="array" ref="K482">IF(F482=0," ",IF(ISBLANK(INDEX(Initial_Component_aggregator!H:H,MATCH(F482,Initial_Component_aggregator!B:B))),D482,INDEX(Initial_Component_aggregator!I:I,MATCH(J482,Initial_Component_aggregator!H:H))))</f>
        <v xml:space="preserve"> </v>
      </c>
      <c r="L482" t="str" cm="1">
        <f t="array" ref="L482">IF(F482=0," ",IF(ISBLANK(INDEX(Initial_Component_aggregator!H:H,MATCH(F482,Initial_Component_aggregator!B:B))),E482,INDEX(Initial_Component_aggregator!J:J,MATCH(J482,Initial_Component_aggregator!H:H))))</f>
        <v xml:space="preserve"> </v>
      </c>
      <c r="M482" t="str" cm="1">
        <f t="array" ref="M482">IF(F482=0," ",IF(ISBLANK(INDEX(Initial_Component_aggregator!H:H,MATCH(F482,Initial_Component_aggregator!B:B))),F482,INDEX(Initial_Component_aggregator!K:K,MATCH(J482,Initial_Component_aggregator!H:H))))</f>
        <v xml:space="preserve"> </v>
      </c>
    </row>
    <row r="483" spans="1:13" ht="36" customHeight="1">
      <c r="A483"/>
      <c r="B483"/>
      <c r="C483"/>
      <c r="D483"/>
      <c r="E483"/>
      <c r="F483"/>
      <c r="G483"/>
      <c r="H483" t="str">
        <f t="shared" si="7"/>
        <v xml:space="preserve"> </v>
      </c>
      <c r="I483" t="str" cm="1">
        <f t="array" ref="I483">IF(F483=0," ",IF(ISBLANK(INDEX(Initial_Component_aggregator!F:F,MATCH(F483,Initial_Component_aggregator!B:B,0))),"No change",INDEX(Initial_Component_aggregator!F:F,MATCH(F483,Initial_Component_aggregator!B:B,0))))</f>
        <v xml:space="preserve"> </v>
      </c>
      <c r="J483" t="str" cm="1">
        <f t="array" ref="J483">IF(F483=0," ",IF(ISBLANK(INDEX(Initial_Component_aggregator!H:H,MATCH(F483,Initial_Component_aggregator!B:B,0))),F483,INDEX(Initial_Component_aggregator!H:H,MATCH(F483,Initial_Component_aggregator!B:B,0))))</f>
        <v xml:space="preserve"> </v>
      </c>
      <c r="K483" t="str" cm="1">
        <f t="array" ref="K483">IF(F483=0," ",IF(ISBLANK(INDEX(Initial_Component_aggregator!H:H,MATCH(F483,Initial_Component_aggregator!B:B))),D483,INDEX(Initial_Component_aggregator!I:I,MATCH(J483,Initial_Component_aggregator!H:H))))</f>
        <v xml:space="preserve"> </v>
      </c>
      <c r="L483" t="str" cm="1">
        <f t="array" ref="L483">IF(F483=0," ",IF(ISBLANK(INDEX(Initial_Component_aggregator!H:H,MATCH(F483,Initial_Component_aggregator!B:B))),E483,INDEX(Initial_Component_aggregator!J:J,MATCH(J483,Initial_Component_aggregator!H:H))))</f>
        <v xml:space="preserve"> </v>
      </c>
      <c r="M483" t="str" cm="1">
        <f t="array" ref="M483">IF(F483=0," ",IF(ISBLANK(INDEX(Initial_Component_aggregator!H:H,MATCH(F483,Initial_Component_aggregator!B:B))),F483,INDEX(Initial_Component_aggregator!K:K,MATCH(J483,Initial_Component_aggregator!H:H))))</f>
        <v xml:space="preserve"> </v>
      </c>
    </row>
    <row r="484" spans="1:13" ht="36" customHeight="1">
      <c r="A484"/>
      <c r="B484"/>
      <c r="C484"/>
      <c r="D484"/>
      <c r="E484"/>
      <c r="F484"/>
      <c r="G484"/>
      <c r="H484" t="str">
        <f t="shared" si="7"/>
        <v xml:space="preserve"> </v>
      </c>
      <c r="I484" t="str" cm="1">
        <f t="array" ref="I484">IF(F484=0," ",IF(ISBLANK(INDEX(Initial_Component_aggregator!F:F,MATCH(F484,Initial_Component_aggregator!B:B,0))),"No change",INDEX(Initial_Component_aggregator!F:F,MATCH(F484,Initial_Component_aggregator!B:B,0))))</f>
        <v xml:space="preserve"> </v>
      </c>
      <c r="J484" t="str" cm="1">
        <f t="array" ref="J484">IF(F484=0," ",IF(ISBLANK(INDEX(Initial_Component_aggregator!H:H,MATCH(F484,Initial_Component_aggregator!B:B,0))),F484,INDEX(Initial_Component_aggregator!H:H,MATCH(F484,Initial_Component_aggregator!B:B,0))))</f>
        <v xml:space="preserve"> </v>
      </c>
      <c r="K484" t="str" cm="1">
        <f t="array" ref="K484">IF(F484=0," ",IF(ISBLANK(INDEX(Initial_Component_aggregator!H:H,MATCH(F484,Initial_Component_aggregator!B:B))),D484,INDEX(Initial_Component_aggregator!I:I,MATCH(J484,Initial_Component_aggregator!H:H))))</f>
        <v xml:space="preserve"> </v>
      </c>
      <c r="L484" t="str" cm="1">
        <f t="array" ref="L484">IF(F484=0," ",IF(ISBLANK(INDEX(Initial_Component_aggregator!H:H,MATCH(F484,Initial_Component_aggregator!B:B))),E484,INDEX(Initial_Component_aggregator!J:J,MATCH(J484,Initial_Component_aggregator!H:H))))</f>
        <v xml:space="preserve"> </v>
      </c>
      <c r="M484" t="str" cm="1">
        <f t="array" ref="M484">IF(F484=0," ",IF(ISBLANK(INDEX(Initial_Component_aggregator!H:H,MATCH(F484,Initial_Component_aggregator!B:B))),F484,INDEX(Initial_Component_aggregator!K:K,MATCH(J484,Initial_Component_aggregator!H:H))))</f>
        <v xml:space="preserve"> </v>
      </c>
    </row>
    <row r="485" spans="1:13" ht="36" customHeight="1">
      <c r="A485"/>
      <c r="B485"/>
      <c r="C485"/>
      <c r="D485"/>
      <c r="E485"/>
      <c r="F485"/>
      <c r="G485"/>
      <c r="H485" t="str">
        <f t="shared" si="7"/>
        <v xml:space="preserve"> </v>
      </c>
      <c r="I485" t="str" cm="1">
        <f t="array" ref="I485">IF(F485=0," ",IF(ISBLANK(INDEX(Initial_Component_aggregator!F:F,MATCH(F485,Initial_Component_aggregator!B:B,0))),"No change",INDEX(Initial_Component_aggregator!F:F,MATCH(F485,Initial_Component_aggregator!B:B,0))))</f>
        <v xml:space="preserve"> </v>
      </c>
      <c r="J485" t="str" cm="1">
        <f t="array" ref="J485">IF(F485=0," ",IF(ISBLANK(INDEX(Initial_Component_aggregator!H:H,MATCH(F485,Initial_Component_aggregator!B:B,0))),F485,INDEX(Initial_Component_aggregator!H:H,MATCH(F485,Initial_Component_aggregator!B:B,0))))</f>
        <v xml:space="preserve"> </v>
      </c>
      <c r="K485" t="str" cm="1">
        <f t="array" ref="K485">IF(F485=0," ",IF(ISBLANK(INDEX(Initial_Component_aggregator!H:H,MATCH(F485,Initial_Component_aggregator!B:B))),D485,INDEX(Initial_Component_aggregator!I:I,MATCH(J485,Initial_Component_aggregator!H:H))))</f>
        <v xml:space="preserve"> </v>
      </c>
      <c r="L485" t="str" cm="1">
        <f t="array" ref="L485">IF(F485=0," ",IF(ISBLANK(INDEX(Initial_Component_aggregator!H:H,MATCH(F485,Initial_Component_aggregator!B:B))),E485,INDEX(Initial_Component_aggregator!J:J,MATCH(J485,Initial_Component_aggregator!H:H))))</f>
        <v xml:space="preserve"> </v>
      </c>
      <c r="M485" t="str" cm="1">
        <f t="array" ref="M485">IF(F485=0," ",IF(ISBLANK(INDEX(Initial_Component_aggregator!H:H,MATCH(F485,Initial_Component_aggregator!B:B))),F485,INDEX(Initial_Component_aggregator!K:K,MATCH(J485,Initial_Component_aggregator!H:H))))</f>
        <v xml:space="preserve"> </v>
      </c>
    </row>
    <row r="486" spans="1:13" ht="36" customHeight="1">
      <c r="A486"/>
      <c r="B486"/>
      <c r="C486"/>
      <c r="D486"/>
      <c r="E486"/>
      <c r="F486"/>
      <c r="G486"/>
      <c r="H486" t="str">
        <f t="shared" si="7"/>
        <v xml:space="preserve"> </v>
      </c>
      <c r="I486" t="str" cm="1">
        <f t="array" ref="I486">IF(F486=0," ",IF(ISBLANK(INDEX(Initial_Component_aggregator!F:F,MATCH(F486,Initial_Component_aggregator!B:B,0))),"No change",INDEX(Initial_Component_aggregator!F:F,MATCH(F486,Initial_Component_aggregator!B:B,0))))</f>
        <v xml:space="preserve"> </v>
      </c>
      <c r="J486" t="str" cm="1">
        <f t="array" ref="J486">IF(F486=0," ",IF(ISBLANK(INDEX(Initial_Component_aggregator!H:H,MATCH(F486,Initial_Component_aggregator!B:B,0))),F486,INDEX(Initial_Component_aggregator!H:H,MATCH(F486,Initial_Component_aggregator!B:B,0))))</f>
        <v xml:space="preserve"> </v>
      </c>
      <c r="K486" t="str" cm="1">
        <f t="array" ref="K486">IF(F486=0," ",IF(ISBLANK(INDEX(Initial_Component_aggregator!H:H,MATCH(F486,Initial_Component_aggregator!B:B))),D486,INDEX(Initial_Component_aggregator!I:I,MATCH(J486,Initial_Component_aggregator!H:H))))</f>
        <v xml:space="preserve"> </v>
      </c>
      <c r="L486" t="str" cm="1">
        <f t="array" ref="L486">IF(F486=0," ",IF(ISBLANK(INDEX(Initial_Component_aggregator!H:H,MATCH(F486,Initial_Component_aggregator!B:B))),E486,INDEX(Initial_Component_aggregator!J:J,MATCH(J486,Initial_Component_aggregator!H:H))))</f>
        <v xml:space="preserve"> </v>
      </c>
      <c r="M486" t="str" cm="1">
        <f t="array" ref="M486">IF(F486=0," ",IF(ISBLANK(INDEX(Initial_Component_aggregator!H:H,MATCH(F486,Initial_Component_aggregator!B:B))),F486,INDEX(Initial_Component_aggregator!K:K,MATCH(J486,Initial_Component_aggregator!H:H))))</f>
        <v xml:space="preserve"> </v>
      </c>
    </row>
    <row r="487" spans="1:13" ht="36" customHeight="1">
      <c r="A487"/>
      <c r="B487"/>
      <c r="C487"/>
      <c r="D487"/>
      <c r="E487"/>
      <c r="F487"/>
      <c r="G487"/>
      <c r="H487" t="str">
        <f t="shared" si="7"/>
        <v xml:space="preserve"> </v>
      </c>
      <c r="I487" t="str" cm="1">
        <f t="array" ref="I487">IF(F487=0," ",IF(ISBLANK(INDEX(Initial_Component_aggregator!F:F,MATCH(F487,Initial_Component_aggregator!B:B,0))),"No change",INDEX(Initial_Component_aggregator!F:F,MATCH(F487,Initial_Component_aggregator!B:B,0))))</f>
        <v xml:space="preserve"> </v>
      </c>
      <c r="J487" t="str" cm="1">
        <f t="array" ref="J487">IF(F487=0," ",IF(ISBLANK(INDEX(Initial_Component_aggregator!H:H,MATCH(F487,Initial_Component_aggregator!B:B,0))),F487,INDEX(Initial_Component_aggregator!H:H,MATCH(F487,Initial_Component_aggregator!B:B,0))))</f>
        <v xml:space="preserve"> </v>
      </c>
      <c r="K487" t="str" cm="1">
        <f t="array" ref="K487">IF(F487=0," ",IF(ISBLANK(INDEX(Initial_Component_aggregator!H:H,MATCH(F487,Initial_Component_aggregator!B:B))),D487,INDEX(Initial_Component_aggregator!I:I,MATCH(J487,Initial_Component_aggregator!H:H))))</f>
        <v xml:space="preserve"> </v>
      </c>
      <c r="L487" t="str" cm="1">
        <f t="array" ref="L487">IF(F487=0," ",IF(ISBLANK(INDEX(Initial_Component_aggregator!H:H,MATCH(F487,Initial_Component_aggregator!B:B))),E487,INDEX(Initial_Component_aggregator!J:J,MATCH(J487,Initial_Component_aggregator!H:H))))</f>
        <v xml:space="preserve"> </v>
      </c>
      <c r="M487" t="str" cm="1">
        <f t="array" ref="M487">IF(F487=0," ",IF(ISBLANK(INDEX(Initial_Component_aggregator!H:H,MATCH(F487,Initial_Component_aggregator!B:B))),F487,INDEX(Initial_Component_aggregator!K:K,MATCH(J487,Initial_Component_aggregator!H:H))))</f>
        <v xml:space="preserve"> </v>
      </c>
    </row>
    <row r="488" spans="1:13" ht="36" customHeight="1">
      <c r="A488"/>
      <c r="B488"/>
      <c r="C488"/>
      <c r="D488"/>
      <c r="E488"/>
      <c r="F488"/>
      <c r="G488"/>
      <c r="H488" t="str">
        <f t="shared" si="7"/>
        <v xml:space="preserve"> </v>
      </c>
      <c r="I488" t="str" cm="1">
        <f t="array" ref="I488">IF(F488=0," ",IF(ISBLANK(INDEX(Initial_Component_aggregator!F:F,MATCH(F488,Initial_Component_aggregator!B:B,0))),"No change",INDEX(Initial_Component_aggregator!F:F,MATCH(F488,Initial_Component_aggregator!B:B,0))))</f>
        <v xml:space="preserve"> </v>
      </c>
      <c r="J488" t="str" cm="1">
        <f t="array" ref="J488">IF(F488=0," ",IF(ISBLANK(INDEX(Initial_Component_aggregator!H:H,MATCH(F488,Initial_Component_aggregator!B:B,0))),F488,INDEX(Initial_Component_aggregator!H:H,MATCH(F488,Initial_Component_aggregator!B:B,0))))</f>
        <v xml:space="preserve"> </v>
      </c>
      <c r="K488" t="str" cm="1">
        <f t="array" ref="K488">IF(F488=0," ",IF(ISBLANK(INDEX(Initial_Component_aggregator!H:H,MATCH(F488,Initial_Component_aggregator!B:B))),D488,INDEX(Initial_Component_aggregator!I:I,MATCH(J488,Initial_Component_aggregator!H:H))))</f>
        <v xml:space="preserve"> </v>
      </c>
      <c r="L488" t="str" cm="1">
        <f t="array" ref="L488">IF(F488=0," ",IF(ISBLANK(INDEX(Initial_Component_aggregator!H:H,MATCH(F488,Initial_Component_aggregator!B:B))),E488,INDEX(Initial_Component_aggregator!J:J,MATCH(J488,Initial_Component_aggregator!H:H))))</f>
        <v xml:space="preserve"> </v>
      </c>
      <c r="M488" t="str" cm="1">
        <f t="array" ref="M488">IF(F488=0," ",IF(ISBLANK(INDEX(Initial_Component_aggregator!H:H,MATCH(F488,Initial_Component_aggregator!B:B))),F488,INDEX(Initial_Component_aggregator!K:K,MATCH(J488,Initial_Component_aggregator!H:H))))</f>
        <v xml:space="preserve"> </v>
      </c>
    </row>
    <row r="489" spans="1:13" ht="36" customHeight="1">
      <c r="A489"/>
      <c r="B489"/>
      <c r="C489"/>
      <c r="D489"/>
      <c r="E489"/>
      <c r="F489"/>
      <c r="G489"/>
      <c r="H489" t="str">
        <f t="shared" si="7"/>
        <v xml:space="preserve"> </v>
      </c>
      <c r="I489" t="str" cm="1">
        <f t="array" ref="I489">IF(F489=0," ",IF(ISBLANK(INDEX(Initial_Component_aggregator!F:F,MATCH(F489,Initial_Component_aggregator!B:B,0))),"No change",INDEX(Initial_Component_aggregator!F:F,MATCH(F489,Initial_Component_aggregator!B:B,0))))</f>
        <v xml:space="preserve"> </v>
      </c>
      <c r="J489" t="str" cm="1">
        <f t="array" ref="J489">IF(F489=0," ",IF(ISBLANK(INDEX(Initial_Component_aggregator!H:H,MATCH(F489,Initial_Component_aggregator!B:B,0))),F489,INDEX(Initial_Component_aggregator!H:H,MATCH(F489,Initial_Component_aggregator!B:B,0))))</f>
        <v xml:space="preserve"> </v>
      </c>
      <c r="K489" t="str" cm="1">
        <f t="array" ref="K489">IF(F489=0," ",IF(ISBLANK(INDEX(Initial_Component_aggregator!H:H,MATCH(F489,Initial_Component_aggregator!B:B))),D489,INDEX(Initial_Component_aggregator!I:I,MATCH(J489,Initial_Component_aggregator!H:H))))</f>
        <v xml:space="preserve"> </v>
      </c>
      <c r="L489" t="str" cm="1">
        <f t="array" ref="L489">IF(F489=0," ",IF(ISBLANK(INDEX(Initial_Component_aggregator!H:H,MATCH(F489,Initial_Component_aggregator!B:B))),E489,INDEX(Initial_Component_aggregator!J:J,MATCH(J489,Initial_Component_aggregator!H:H))))</f>
        <v xml:space="preserve"> </v>
      </c>
      <c r="M489" t="str" cm="1">
        <f t="array" ref="M489">IF(F489=0," ",IF(ISBLANK(INDEX(Initial_Component_aggregator!H:H,MATCH(F489,Initial_Component_aggregator!B:B))),F489,INDEX(Initial_Component_aggregator!K:K,MATCH(J489,Initial_Component_aggregator!H:H))))</f>
        <v xml:space="preserve"> </v>
      </c>
    </row>
    <row r="490" spans="1:13" ht="36" customHeight="1">
      <c r="A490"/>
      <c r="B490"/>
      <c r="C490"/>
      <c r="D490"/>
      <c r="E490"/>
      <c r="F490"/>
      <c r="G490"/>
      <c r="H490" t="str">
        <f t="shared" si="7"/>
        <v xml:space="preserve"> </v>
      </c>
      <c r="I490" t="str" cm="1">
        <f t="array" ref="I490">IF(F490=0," ",IF(ISBLANK(INDEX(Initial_Component_aggregator!F:F,MATCH(F490,Initial_Component_aggregator!B:B,0))),"No change",INDEX(Initial_Component_aggregator!F:F,MATCH(F490,Initial_Component_aggregator!B:B,0))))</f>
        <v xml:space="preserve"> </v>
      </c>
      <c r="J490" t="str" cm="1">
        <f t="array" ref="J490">IF(F490=0," ",IF(ISBLANK(INDEX(Initial_Component_aggregator!H:H,MATCH(F490,Initial_Component_aggregator!B:B,0))),F490,INDEX(Initial_Component_aggregator!H:H,MATCH(F490,Initial_Component_aggregator!B:B,0))))</f>
        <v xml:space="preserve"> </v>
      </c>
      <c r="K490" t="str" cm="1">
        <f t="array" ref="K490">IF(F490=0," ",IF(ISBLANK(INDEX(Initial_Component_aggregator!H:H,MATCH(F490,Initial_Component_aggregator!B:B))),D490,INDEX(Initial_Component_aggregator!I:I,MATCH(J490,Initial_Component_aggregator!H:H))))</f>
        <v xml:space="preserve"> </v>
      </c>
      <c r="L490" t="str" cm="1">
        <f t="array" ref="L490">IF(F490=0," ",IF(ISBLANK(INDEX(Initial_Component_aggregator!H:H,MATCH(F490,Initial_Component_aggregator!B:B))),E490,INDEX(Initial_Component_aggregator!J:J,MATCH(J490,Initial_Component_aggregator!H:H))))</f>
        <v xml:space="preserve"> </v>
      </c>
      <c r="M490" t="str" cm="1">
        <f t="array" ref="M490">IF(F490=0," ",IF(ISBLANK(INDEX(Initial_Component_aggregator!H:H,MATCH(F490,Initial_Component_aggregator!B:B))),F490,INDEX(Initial_Component_aggregator!K:K,MATCH(J490,Initial_Component_aggregator!H:H))))</f>
        <v xml:space="preserve"> </v>
      </c>
    </row>
    <row r="491" spans="1:13" ht="36" customHeight="1">
      <c r="A491"/>
      <c r="B491"/>
      <c r="C491"/>
      <c r="D491"/>
      <c r="E491"/>
      <c r="F491"/>
      <c r="G491"/>
      <c r="H491" t="str">
        <f t="shared" si="7"/>
        <v xml:space="preserve"> </v>
      </c>
      <c r="I491" t="str" cm="1">
        <f t="array" ref="I491">IF(F491=0," ",IF(ISBLANK(INDEX(Initial_Component_aggregator!F:F,MATCH(F491,Initial_Component_aggregator!B:B,0))),"No change",INDEX(Initial_Component_aggregator!F:F,MATCH(F491,Initial_Component_aggregator!B:B,0))))</f>
        <v xml:space="preserve"> </v>
      </c>
      <c r="J491" t="str" cm="1">
        <f t="array" ref="J491">IF(F491=0," ",IF(ISBLANK(INDEX(Initial_Component_aggregator!H:H,MATCH(F491,Initial_Component_aggregator!B:B,0))),F491,INDEX(Initial_Component_aggregator!H:H,MATCH(F491,Initial_Component_aggregator!B:B,0))))</f>
        <v xml:space="preserve"> </v>
      </c>
      <c r="K491" t="str" cm="1">
        <f t="array" ref="K491">IF(F491=0," ",IF(ISBLANK(INDEX(Initial_Component_aggregator!H:H,MATCH(F491,Initial_Component_aggregator!B:B))),D491,INDEX(Initial_Component_aggregator!I:I,MATCH(J491,Initial_Component_aggregator!H:H))))</f>
        <v xml:space="preserve"> </v>
      </c>
      <c r="L491" t="str" cm="1">
        <f t="array" ref="L491">IF(F491=0," ",IF(ISBLANK(INDEX(Initial_Component_aggregator!H:H,MATCH(F491,Initial_Component_aggregator!B:B))),E491,INDEX(Initial_Component_aggregator!J:J,MATCH(J491,Initial_Component_aggregator!H:H))))</f>
        <v xml:space="preserve"> </v>
      </c>
      <c r="M491" t="str" cm="1">
        <f t="array" ref="M491">IF(F491=0," ",IF(ISBLANK(INDEX(Initial_Component_aggregator!H:H,MATCH(F491,Initial_Component_aggregator!B:B))),F491,INDEX(Initial_Component_aggregator!K:K,MATCH(J491,Initial_Component_aggregator!H:H))))</f>
        <v xml:space="preserve"> </v>
      </c>
    </row>
    <row r="492" spans="1:13" ht="36" customHeight="1">
      <c r="A492"/>
      <c r="B492"/>
      <c r="C492"/>
      <c r="D492"/>
      <c r="E492"/>
      <c r="F492"/>
      <c r="G492"/>
      <c r="H492" t="str">
        <f t="shared" si="7"/>
        <v xml:space="preserve"> </v>
      </c>
      <c r="I492" t="str" cm="1">
        <f t="array" ref="I492">IF(F492=0," ",IF(ISBLANK(INDEX(Initial_Component_aggregator!F:F,MATCH(F492,Initial_Component_aggregator!B:B,0))),"No change",INDEX(Initial_Component_aggregator!F:F,MATCH(F492,Initial_Component_aggregator!B:B,0))))</f>
        <v xml:space="preserve"> </v>
      </c>
      <c r="J492" t="str" cm="1">
        <f t="array" ref="J492">IF(F492=0," ",IF(ISBLANK(INDEX(Initial_Component_aggregator!H:H,MATCH(F492,Initial_Component_aggregator!B:B,0))),F492,INDEX(Initial_Component_aggregator!H:H,MATCH(F492,Initial_Component_aggregator!B:B,0))))</f>
        <v xml:space="preserve"> </v>
      </c>
      <c r="K492" t="str" cm="1">
        <f t="array" ref="K492">IF(F492=0," ",IF(ISBLANK(INDEX(Initial_Component_aggregator!H:H,MATCH(F492,Initial_Component_aggregator!B:B))),D492,INDEX(Initial_Component_aggregator!I:I,MATCH(J492,Initial_Component_aggregator!H:H))))</f>
        <v xml:space="preserve"> </v>
      </c>
      <c r="L492" t="str" cm="1">
        <f t="array" ref="L492">IF(F492=0," ",IF(ISBLANK(INDEX(Initial_Component_aggregator!H:H,MATCH(F492,Initial_Component_aggregator!B:B))),E492,INDEX(Initial_Component_aggregator!J:J,MATCH(J492,Initial_Component_aggregator!H:H))))</f>
        <v xml:space="preserve"> </v>
      </c>
      <c r="M492" t="str" cm="1">
        <f t="array" ref="M492">IF(F492=0," ",IF(ISBLANK(INDEX(Initial_Component_aggregator!H:H,MATCH(F492,Initial_Component_aggregator!B:B))),F492,INDEX(Initial_Component_aggregator!K:K,MATCH(J492,Initial_Component_aggregator!H:H))))</f>
        <v xml:space="preserve"> </v>
      </c>
    </row>
    <row r="493" spans="1:13" ht="36" customHeight="1">
      <c r="A493"/>
      <c r="B493"/>
      <c r="C493"/>
      <c r="D493"/>
      <c r="E493"/>
      <c r="F493"/>
      <c r="G493"/>
      <c r="H493" t="str">
        <f t="shared" si="7"/>
        <v xml:space="preserve"> </v>
      </c>
      <c r="I493" t="str" cm="1">
        <f t="array" ref="I493">IF(F493=0," ",IF(ISBLANK(INDEX(Initial_Component_aggregator!F:F,MATCH(F493,Initial_Component_aggregator!B:B,0))),"No change",INDEX(Initial_Component_aggregator!F:F,MATCH(F493,Initial_Component_aggregator!B:B,0))))</f>
        <v xml:space="preserve"> </v>
      </c>
      <c r="J493" t="str" cm="1">
        <f t="array" ref="J493">IF(F493=0," ",IF(ISBLANK(INDEX(Initial_Component_aggregator!H:H,MATCH(F493,Initial_Component_aggregator!B:B,0))),F493,INDEX(Initial_Component_aggregator!H:H,MATCH(F493,Initial_Component_aggregator!B:B,0))))</f>
        <v xml:space="preserve"> </v>
      </c>
      <c r="K493" t="str" cm="1">
        <f t="array" ref="K493">IF(F493=0," ",IF(ISBLANK(INDEX(Initial_Component_aggregator!H:H,MATCH(F493,Initial_Component_aggregator!B:B))),D493,INDEX(Initial_Component_aggregator!I:I,MATCH(J493,Initial_Component_aggregator!H:H))))</f>
        <v xml:space="preserve"> </v>
      </c>
      <c r="L493" t="str" cm="1">
        <f t="array" ref="L493">IF(F493=0," ",IF(ISBLANK(INDEX(Initial_Component_aggregator!H:H,MATCH(F493,Initial_Component_aggregator!B:B))),E493,INDEX(Initial_Component_aggregator!J:J,MATCH(J493,Initial_Component_aggregator!H:H))))</f>
        <v xml:space="preserve"> </v>
      </c>
      <c r="M493" t="str" cm="1">
        <f t="array" ref="M493">IF(F493=0," ",IF(ISBLANK(INDEX(Initial_Component_aggregator!H:H,MATCH(F493,Initial_Component_aggregator!B:B))),F493,INDEX(Initial_Component_aggregator!K:K,MATCH(J493,Initial_Component_aggregator!H:H))))</f>
        <v xml:space="preserve"> </v>
      </c>
    </row>
    <row r="494" spans="1:13" ht="36" customHeight="1">
      <c r="A494"/>
      <c r="B494"/>
      <c r="C494"/>
      <c r="D494"/>
      <c r="E494"/>
      <c r="F494"/>
      <c r="G494"/>
      <c r="H494" t="str">
        <f t="shared" si="7"/>
        <v xml:space="preserve"> </v>
      </c>
      <c r="I494" t="str" cm="1">
        <f t="array" ref="I494">IF(F494=0," ",IF(ISBLANK(INDEX(Initial_Component_aggregator!F:F,MATCH(F494,Initial_Component_aggregator!B:B,0))),"No change",INDEX(Initial_Component_aggregator!F:F,MATCH(F494,Initial_Component_aggregator!B:B,0))))</f>
        <v xml:space="preserve"> </v>
      </c>
      <c r="J494" t="str" cm="1">
        <f t="array" ref="J494">IF(F494=0," ",IF(ISBLANK(INDEX(Initial_Component_aggregator!H:H,MATCH(F494,Initial_Component_aggregator!B:B,0))),F494,INDEX(Initial_Component_aggregator!H:H,MATCH(F494,Initial_Component_aggregator!B:B,0))))</f>
        <v xml:space="preserve"> </v>
      </c>
      <c r="K494" t="str" cm="1">
        <f t="array" ref="K494">IF(F494=0," ",IF(ISBLANK(INDEX(Initial_Component_aggregator!H:H,MATCH(F494,Initial_Component_aggregator!B:B))),D494,INDEX(Initial_Component_aggregator!I:I,MATCH(J494,Initial_Component_aggregator!H:H))))</f>
        <v xml:space="preserve"> </v>
      </c>
      <c r="L494" t="str" cm="1">
        <f t="array" ref="L494">IF(F494=0," ",IF(ISBLANK(INDEX(Initial_Component_aggregator!H:H,MATCH(F494,Initial_Component_aggregator!B:B))),E494,INDEX(Initial_Component_aggregator!J:J,MATCH(J494,Initial_Component_aggregator!H:H))))</f>
        <v xml:space="preserve"> </v>
      </c>
      <c r="M494" t="str" cm="1">
        <f t="array" ref="M494">IF(F494=0," ",IF(ISBLANK(INDEX(Initial_Component_aggregator!H:H,MATCH(F494,Initial_Component_aggregator!B:B))),F494,INDEX(Initial_Component_aggregator!K:K,MATCH(J494,Initial_Component_aggregator!H:H))))</f>
        <v xml:space="preserve"> </v>
      </c>
    </row>
    <row r="495" spans="1:13" ht="36" customHeight="1">
      <c r="A495"/>
      <c r="B495"/>
      <c r="C495"/>
      <c r="D495"/>
      <c r="E495"/>
      <c r="F495"/>
      <c r="G495"/>
      <c r="H495" t="str">
        <f t="shared" si="7"/>
        <v xml:space="preserve"> </v>
      </c>
      <c r="I495" t="str" cm="1">
        <f t="array" ref="I495">IF(F495=0," ",IF(ISBLANK(INDEX(Initial_Component_aggregator!F:F,MATCH(F495,Initial_Component_aggregator!B:B,0))),"No change",INDEX(Initial_Component_aggregator!F:F,MATCH(F495,Initial_Component_aggregator!B:B,0))))</f>
        <v xml:space="preserve"> </v>
      </c>
      <c r="J495" t="str" cm="1">
        <f t="array" ref="J495">IF(F495=0," ",IF(ISBLANK(INDEX(Initial_Component_aggregator!H:H,MATCH(F495,Initial_Component_aggregator!B:B,0))),F495,INDEX(Initial_Component_aggregator!H:H,MATCH(F495,Initial_Component_aggregator!B:B,0))))</f>
        <v xml:space="preserve"> </v>
      </c>
      <c r="K495" t="str" cm="1">
        <f t="array" ref="K495">IF(F495=0," ",IF(ISBLANK(INDEX(Initial_Component_aggregator!H:H,MATCH(F495,Initial_Component_aggregator!B:B))),D495,INDEX(Initial_Component_aggregator!I:I,MATCH(J495,Initial_Component_aggregator!H:H))))</f>
        <v xml:space="preserve"> </v>
      </c>
      <c r="L495" t="str" cm="1">
        <f t="array" ref="L495">IF(F495=0," ",IF(ISBLANK(INDEX(Initial_Component_aggregator!H:H,MATCH(F495,Initial_Component_aggregator!B:B))),E495,INDEX(Initial_Component_aggregator!J:J,MATCH(J495,Initial_Component_aggregator!H:H))))</f>
        <v xml:space="preserve"> </v>
      </c>
      <c r="M495" t="str" cm="1">
        <f t="array" ref="M495">IF(F495=0," ",IF(ISBLANK(INDEX(Initial_Component_aggregator!H:H,MATCH(F495,Initial_Component_aggregator!B:B))),F495,INDEX(Initial_Component_aggregator!K:K,MATCH(J495,Initial_Component_aggregator!H:H))))</f>
        <v xml:space="preserve"> </v>
      </c>
    </row>
    <row r="496" spans="1:13" ht="36" customHeight="1">
      <c r="A496"/>
      <c r="B496"/>
      <c r="C496"/>
      <c r="D496"/>
      <c r="E496"/>
      <c r="F496"/>
      <c r="G496"/>
      <c r="H496" t="str">
        <f t="shared" si="7"/>
        <v xml:space="preserve"> </v>
      </c>
      <c r="I496" t="str" cm="1">
        <f t="array" ref="I496">IF(F496=0," ",IF(ISBLANK(INDEX(Initial_Component_aggregator!F:F,MATCH(F496,Initial_Component_aggregator!B:B,0))),"No change",INDEX(Initial_Component_aggregator!F:F,MATCH(F496,Initial_Component_aggregator!B:B,0))))</f>
        <v xml:space="preserve"> </v>
      </c>
      <c r="J496" t="str" cm="1">
        <f t="array" ref="J496">IF(F496=0," ",IF(ISBLANK(INDEX(Initial_Component_aggregator!H:H,MATCH(F496,Initial_Component_aggregator!B:B,0))),F496,INDEX(Initial_Component_aggregator!H:H,MATCH(F496,Initial_Component_aggregator!B:B,0))))</f>
        <v xml:space="preserve"> </v>
      </c>
      <c r="K496" t="str" cm="1">
        <f t="array" ref="K496">IF(F496=0," ",IF(ISBLANK(INDEX(Initial_Component_aggregator!H:H,MATCH(F496,Initial_Component_aggregator!B:B))),D496,INDEX(Initial_Component_aggregator!I:I,MATCH(J496,Initial_Component_aggregator!H:H))))</f>
        <v xml:space="preserve"> </v>
      </c>
      <c r="L496" t="str" cm="1">
        <f t="array" ref="L496">IF(F496=0," ",IF(ISBLANK(INDEX(Initial_Component_aggregator!H:H,MATCH(F496,Initial_Component_aggregator!B:B))),E496,INDEX(Initial_Component_aggregator!J:J,MATCH(J496,Initial_Component_aggregator!H:H))))</f>
        <v xml:space="preserve"> </v>
      </c>
      <c r="M496" t="str" cm="1">
        <f t="array" ref="M496">IF(F496=0," ",IF(ISBLANK(INDEX(Initial_Component_aggregator!H:H,MATCH(F496,Initial_Component_aggregator!B:B))),F496,INDEX(Initial_Component_aggregator!K:K,MATCH(J496,Initial_Component_aggregator!H:H))))</f>
        <v xml:space="preserve"> </v>
      </c>
    </row>
    <row r="497" spans="1:13" ht="36" customHeight="1">
      <c r="A497"/>
      <c r="B497"/>
      <c r="C497"/>
      <c r="D497"/>
      <c r="E497"/>
      <c r="F497"/>
      <c r="G497"/>
      <c r="H497" t="str">
        <f t="shared" si="7"/>
        <v xml:space="preserve"> </v>
      </c>
      <c r="I497" t="str" cm="1">
        <f t="array" ref="I497">IF(F497=0," ",IF(ISBLANK(INDEX(Initial_Component_aggregator!F:F,MATCH(F497,Initial_Component_aggregator!B:B,0))),"No change",INDEX(Initial_Component_aggregator!F:F,MATCH(F497,Initial_Component_aggregator!B:B,0))))</f>
        <v xml:space="preserve"> </v>
      </c>
      <c r="J497" t="str" cm="1">
        <f t="array" ref="J497">IF(F497=0," ",IF(ISBLANK(INDEX(Initial_Component_aggregator!H:H,MATCH(F497,Initial_Component_aggregator!B:B,0))),F497,INDEX(Initial_Component_aggregator!H:H,MATCH(F497,Initial_Component_aggregator!B:B,0))))</f>
        <v xml:space="preserve"> </v>
      </c>
      <c r="K497" t="str" cm="1">
        <f t="array" ref="K497">IF(F497=0," ",IF(ISBLANK(INDEX(Initial_Component_aggregator!H:H,MATCH(F497,Initial_Component_aggregator!B:B))),D497,INDEX(Initial_Component_aggregator!I:I,MATCH(J497,Initial_Component_aggregator!H:H))))</f>
        <v xml:space="preserve"> </v>
      </c>
      <c r="L497" t="str" cm="1">
        <f t="array" ref="L497">IF(F497=0," ",IF(ISBLANK(INDEX(Initial_Component_aggregator!H:H,MATCH(F497,Initial_Component_aggregator!B:B))),E497,INDEX(Initial_Component_aggregator!J:J,MATCH(J497,Initial_Component_aggregator!H:H))))</f>
        <v xml:space="preserve"> </v>
      </c>
      <c r="M497" t="str" cm="1">
        <f t="array" ref="M497">IF(F497=0," ",IF(ISBLANK(INDEX(Initial_Component_aggregator!H:H,MATCH(F497,Initial_Component_aggregator!B:B))),F497,INDEX(Initial_Component_aggregator!K:K,MATCH(J497,Initial_Component_aggregator!H:H))))</f>
        <v xml:space="preserve"> </v>
      </c>
    </row>
    <row r="498" spans="1:13" ht="36" customHeight="1">
      <c r="A498"/>
      <c r="B498"/>
      <c r="C498"/>
      <c r="D498"/>
      <c r="E498"/>
      <c r="F498"/>
      <c r="G498"/>
      <c r="H498" t="str">
        <f t="shared" si="7"/>
        <v xml:space="preserve"> </v>
      </c>
      <c r="I498" t="str" cm="1">
        <f t="array" ref="I498">IF(F498=0," ",IF(ISBLANK(INDEX(Initial_Component_aggregator!F:F,MATCH(F498,Initial_Component_aggregator!B:B,0))),"No change",INDEX(Initial_Component_aggregator!F:F,MATCH(F498,Initial_Component_aggregator!B:B,0))))</f>
        <v xml:space="preserve"> </v>
      </c>
      <c r="J498" t="str" cm="1">
        <f t="array" ref="J498">IF(F498=0," ",IF(ISBLANK(INDEX(Initial_Component_aggregator!H:H,MATCH(F498,Initial_Component_aggregator!B:B,0))),F498,INDEX(Initial_Component_aggregator!H:H,MATCH(F498,Initial_Component_aggregator!B:B,0))))</f>
        <v xml:space="preserve"> </v>
      </c>
      <c r="K498" t="str" cm="1">
        <f t="array" ref="K498">IF(F498=0," ",IF(ISBLANK(INDEX(Initial_Component_aggregator!H:H,MATCH(F498,Initial_Component_aggregator!B:B))),D498,INDEX(Initial_Component_aggregator!I:I,MATCH(J498,Initial_Component_aggregator!H:H))))</f>
        <v xml:space="preserve"> </v>
      </c>
      <c r="L498" t="str" cm="1">
        <f t="array" ref="L498">IF(F498=0," ",IF(ISBLANK(INDEX(Initial_Component_aggregator!H:H,MATCH(F498,Initial_Component_aggregator!B:B))),E498,INDEX(Initial_Component_aggregator!J:J,MATCH(J498,Initial_Component_aggregator!H:H))))</f>
        <v xml:space="preserve"> </v>
      </c>
      <c r="M498" t="str" cm="1">
        <f t="array" ref="M498">IF(F498=0," ",IF(ISBLANK(INDEX(Initial_Component_aggregator!H:H,MATCH(F498,Initial_Component_aggregator!B:B))),F498,INDEX(Initial_Component_aggregator!K:K,MATCH(J498,Initial_Component_aggregator!H:H))))</f>
        <v xml:space="preserve"> </v>
      </c>
    </row>
    <row r="499" spans="1:13" ht="36" customHeight="1">
      <c r="A499"/>
      <c r="B499"/>
      <c r="C499"/>
      <c r="D499"/>
      <c r="E499"/>
      <c r="F499"/>
      <c r="G499"/>
      <c r="H499" t="str">
        <f t="shared" si="7"/>
        <v xml:space="preserve"> </v>
      </c>
      <c r="I499" t="str" cm="1">
        <f t="array" ref="I499">IF(F499=0," ",IF(ISBLANK(INDEX(Initial_Component_aggregator!F:F,MATCH(F499,Initial_Component_aggregator!B:B,0))),"No change",INDEX(Initial_Component_aggregator!F:F,MATCH(F499,Initial_Component_aggregator!B:B,0))))</f>
        <v xml:space="preserve"> </v>
      </c>
      <c r="J499" t="str" cm="1">
        <f t="array" ref="J499">IF(F499=0," ",IF(ISBLANK(INDEX(Initial_Component_aggregator!H:H,MATCH(F499,Initial_Component_aggregator!B:B,0))),F499,INDEX(Initial_Component_aggregator!H:H,MATCH(F499,Initial_Component_aggregator!B:B,0))))</f>
        <v xml:space="preserve"> </v>
      </c>
      <c r="K499" t="str" cm="1">
        <f t="array" ref="K499">IF(F499=0," ",IF(ISBLANK(INDEX(Initial_Component_aggregator!H:H,MATCH(F499,Initial_Component_aggregator!B:B))),D499,INDEX(Initial_Component_aggregator!I:I,MATCH(J499,Initial_Component_aggregator!H:H))))</f>
        <v xml:space="preserve"> </v>
      </c>
      <c r="L499" t="str" cm="1">
        <f t="array" ref="L499">IF(F499=0," ",IF(ISBLANK(INDEX(Initial_Component_aggregator!H:H,MATCH(F499,Initial_Component_aggregator!B:B))),E499,INDEX(Initial_Component_aggregator!J:J,MATCH(J499,Initial_Component_aggregator!H:H))))</f>
        <v xml:space="preserve"> </v>
      </c>
      <c r="M499" t="str" cm="1">
        <f t="array" ref="M499">IF(F499=0," ",IF(ISBLANK(INDEX(Initial_Component_aggregator!H:H,MATCH(F499,Initial_Component_aggregator!B:B))),F499,INDEX(Initial_Component_aggregator!K:K,MATCH(J499,Initial_Component_aggregator!H:H))))</f>
        <v xml:space="preserve"> </v>
      </c>
    </row>
    <row r="500" spans="1:13" ht="36" customHeight="1">
      <c r="A500"/>
      <c r="B500"/>
      <c r="C500"/>
      <c r="D500"/>
      <c r="E500"/>
      <c r="F500"/>
      <c r="G500"/>
      <c r="H500" t="str">
        <f t="shared" si="7"/>
        <v xml:space="preserve"> </v>
      </c>
      <c r="I500" t="str" cm="1">
        <f t="array" ref="I500">IF(F500=0," ",IF(ISBLANK(INDEX(Initial_Component_aggregator!F:F,MATCH(F500,Initial_Component_aggregator!B:B,0))),"No change",INDEX(Initial_Component_aggregator!F:F,MATCH(F500,Initial_Component_aggregator!B:B,0))))</f>
        <v xml:space="preserve"> </v>
      </c>
      <c r="J500" t="str" cm="1">
        <f t="array" ref="J500">IF(F500=0," ",IF(ISBLANK(INDEX(Initial_Component_aggregator!H:H,MATCH(F500,Initial_Component_aggregator!B:B,0))),F500,INDEX(Initial_Component_aggregator!H:H,MATCH(F500,Initial_Component_aggregator!B:B,0))))</f>
        <v xml:space="preserve"> </v>
      </c>
      <c r="K500" t="str" cm="1">
        <f t="array" ref="K500">IF(F500=0," ",IF(ISBLANK(INDEX(Initial_Component_aggregator!H:H,MATCH(F500,Initial_Component_aggregator!B:B))),D500,INDEX(Initial_Component_aggregator!I:I,MATCH(J500,Initial_Component_aggregator!H:H))))</f>
        <v xml:space="preserve"> </v>
      </c>
      <c r="L500" t="str" cm="1">
        <f t="array" ref="L500">IF(F500=0," ",IF(ISBLANK(INDEX(Initial_Component_aggregator!H:H,MATCH(F500,Initial_Component_aggregator!B:B))),E500,INDEX(Initial_Component_aggregator!J:J,MATCH(J500,Initial_Component_aggregator!H:H))))</f>
        <v xml:space="preserve"> </v>
      </c>
      <c r="M500" t="str" cm="1">
        <f t="array" ref="M500">IF(F500=0," ",IF(ISBLANK(INDEX(Initial_Component_aggregator!H:H,MATCH(F500,Initial_Component_aggregator!B:B))),F500,INDEX(Initial_Component_aggregator!K:K,MATCH(J500,Initial_Component_aggregator!H:H))))</f>
        <v xml:space="preserve"> </v>
      </c>
    </row>
  </sheetData>
  <sheetProtection sheet="1" objects="1" formatCells="0" formatColumns="0" formatRows="0" insertColumns="0" insertRows="0" insertHyperlinks="0" sort="0" autoFilter="0" pivotTables="0"/>
  <autoFilter ref="A1:M500" xr:uid="{00000000-0009-0000-0000-000003000000}"/>
  <conditionalFormatting sqref="H1:H500">
    <cfRule type="cellIs" dxfId="4" priority="5" operator="equal">
      <formula>TRUE</formula>
    </cfRule>
  </conditionalFormatting>
  <conditionalFormatting sqref="I1:I500">
    <cfRule type="cellIs" dxfId="3" priority="2" operator="equal">
      <formula>"No change"</formula>
    </cfRule>
    <cfRule type="containsText" dxfId="2" priority="3" operator="containsText" text="Source from manufacturer">
      <formula>NOT(ISERROR(SEARCH("Source from manufacturer",I1)))</formula>
    </cfRule>
    <cfRule type="containsText" dxfId="1" priority="4" operator="containsText" text="Not available">
      <formula>NOT(ISERROR(SEARCH("Not available",I1)))</formula>
    </cfRule>
  </conditionalFormatting>
  <conditionalFormatting sqref="I2:I500">
    <cfRule type="containsText" dxfId="0" priority="1" operator="containsText" text="Obsolete">
      <formula>NOT(ISERROR(SEARCH("Obsolete",I2)))</formula>
    </cfRule>
  </conditionalFormatting>
  <pageMargins left="0.75" right="0.75" top="1" bottom="1" header="0.5" footer="0.5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62"/>
  <sheetViews>
    <sheetView workbookViewId="0">
      <selection activeCell="H4" sqref="H4"/>
    </sheetView>
  </sheetViews>
  <sheetFormatPr defaultColWidth="8.7109375" defaultRowHeight="15"/>
  <cols>
    <col min="1" max="1" width="5.140625" customWidth="1"/>
    <col min="2" max="2" width="9.140625" customWidth="1"/>
    <col min="3" max="3" width="10.5703125" customWidth="1"/>
    <col min="4" max="4" width="18.85546875" customWidth="1"/>
    <col min="5" max="5" width="10.140625" customWidth="1"/>
    <col min="6" max="6" width="11.140625" customWidth="1"/>
    <col min="7" max="7" width="8.7109375" customWidth="1"/>
  </cols>
  <sheetData>
    <row r="1" spans="1:7" s="1" customFormat="1" ht="30">
      <c r="A1" t="s">
        <v>13</v>
      </c>
      <c r="B1" t="s">
        <v>14</v>
      </c>
      <c r="C1" t="s">
        <v>15</v>
      </c>
      <c r="D1" t="s">
        <v>16</v>
      </c>
      <c r="E1" s="2" t="s">
        <v>17</v>
      </c>
      <c r="F1" t="s">
        <v>18</v>
      </c>
      <c r="G1" t="s">
        <v>19</v>
      </c>
    </row>
    <row r="2" spans="1:7">
      <c r="A2" t="e">
        <f>IF(ISBLANK(Initial_entry!#REF!),,Initial_entry!#REF!)</f>
        <v>#REF!</v>
      </c>
      <c r="B2" t="e">
        <f>IF(ISBLANK(Initial_entry!#REF!),"",Initial_entry!#REF!)</f>
        <v>#REF!</v>
      </c>
      <c r="C2" t="e">
        <f>IF(ISBLANK(Initial_entry!#REF!),"",Initial_entry!#REF!)</f>
        <v>#REF!</v>
      </c>
      <c r="D2" t="e" cm="1">
        <f t="array" ref="D2">IF(A2=0,"",INDEX(Master_Sheet!K:K,MATCH(A2,Master_Sheet!A:A,0)))</f>
        <v>#REF!</v>
      </c>
      <c r="E2" t="e" cm="1">
        <f t="array" ref="E2">IF(A2=0,"",INDEX(Master_Sheet!L:L,MATCH(A2,Master_Sheet!A:A,0)))</f>
        <v>#REF!</v>
      </c>
      <c r="F2" t="e" cm="1">
        <f t="array" ref="F2">IF(A2=0," ",INDEX(Master_Sheet!J:J,MATCH(A2,Master_Sheet!A:A,0)))</f>
        <v>#REF!</v>
      </c>
      <c r="G2" t="e" cm="1">
        <f t="array" ref="G2">IF(A2=0,"",INDEX(Master_Sheet!G:G,MATCH(A2,Master_Sheet!A:A,0)))</f>
        <v>#REF!</v>
      </c>
    </row>
    <row r="3" spans="1:7">
      <c r="A3">
        <f>IF(ISBLANK(Initial_entry!A2),,Initial_entry!A2)</f>
        <v>1</v>
      </c>
      <c r="B3" t="str">
        <f>IF(ISBLANK(Initial_entry!B2),"",Initial_entry!B2)</f>
        <v>1, 2</v>
      </c>
      <c r="C3" t="str">
        <f>IF(ISBLANK(Initial_entry!C2),"",Initial_entry!C2)</f>
        <v>ON Semiconductor</v>
      </c>
      <c r="D3" t="e" cm="1">
        <f t="array" ref="D3">IF(A3=0,"",INDEX(Master_Sheet!K:K,MATCH(A3,Master_Sheet!A:A,0)))</f>
        <v>#N/A</v>
      </c>
      <c r="E3" t="e" cm="1">
        <f t="array" ref="E3">IF(A3=0,"",INDEX(Master_Sheet!L:L,MATCH(A3,Master_Sheet!A:A,0)))</f>
        <v>#N/A</v>
      </c>
      <c r="F3" t="e" cm="1">
        <f t="array" ref="F3">IF(A3=0," ",INDEX(Master_Sheet!J:J,MATCH(A3,Master_Sheet!A:A,0)))</f>
        <v>#N/A</v>
      </c>
      <c r="G3" t="e" cm="1">
        <f t="array" ref="G3">IF(A3=0,"",INDEX(Master_Sheet!G:G,MATCH(A3,Master_Sheet!A:A,0)))</f>
        <v>#N/A</v>
      </c>
    </row>
    <row r="4" spans="1:7">
      <c r="A4">
        <f>IF(ISBLANK(Initial_entry!A3),,Initial_entry!A3)</f>
        <v>2</v>
      </c>
      <c r="B4" t="str">
        <f>IF(ISBLANK(Initial_entry!B3),"",Initial_entry!B3)</f>
        <v>Battery</v>
      </c>
      <c r="C4" t="str">
        <f>IF(ISBLANK(Initial_entry!C3),"",Initial_entry!C3)</f>
        <v>TE Connectivity</v>
      </c>
      <c r="D4" t="e" cm="1">
        <f t="array" ref="D4">IF(A4=0,"",INDEX(Master_Sheet!K:K,MATCH(A4,Master_Sheet!A:A,0)))</f>
        <v>#N/A</v>
      </c>
      <c r="E4" t="e" cm="1">
        <f t="array" ref="E4">IF(A4=0,"",INDEX(Master_Sheet!L:L,MATCH(A4,Master_Sheet!A:A,0)))</f>
        <v>#N/A</v>
      </c>
      <c r="F4" t="e" cm="1">
        <f t="array" ref="F4">IF(A4=0," ",INDEX(Master_Sheet!J:J,MATCH(A4,Master_Sheet!A:A,0)))</f>
        <v>#N/A</v>
      </c>
      <c r="G4" t="e" cm="1">
        <f t="array" ref="G4">IF(A4=0,"",INDEX(Master_Sheet!G:G,MATCH(A4,Master_Sheet!A:A,0)))</f>
        <v>#N/A</v>
      </c>
    </row>
    <row r="5" spans="1:7">
      <c r="A5">
        <f>IF(ISBLANK(Initial_entry!A4),,Initial_entry!A4)</f>
        <v>3</v>
      </c>
      <c r="B5" t="str">
        <f>IF(ISBLANK(Initial_entry!B4),"",Initial_entry!B4)</f>
        <v>C1</v>
      </c>
      <c r="C5" t="str">
        <f>IF(ISBLANK(Initial_entry!C4),"",Initial_entry!C4)</f>
        <v>Yageo</v>
      </c>
      <c r="D5" t="e" cm="1">
        <f t="array" ref="D5">IF(A5=0,"",INDEX(Master_Sheet!K:K,MATCH(A5,Master_Sheet!A:A,0)))</f>
        <v>#N/A</v>
      </c>
      <c r="E5" t="e" cm="1">
        <f t="array" ref="E5">IF(A5=0,"",INDEX(Master_Sheet!L:L,MATCH(A5,Master_Sheet!A:A,0)))</f>
        <v>#N/A</v>
      </c>
      <c r="F5" t="e" cm="1">
        <f t="array" ref="F5">IF(A5=0," ",INDEX(Master_Sheet!J:J,MATCH(A5,Master_Sheet!A:A,0)))</f>
        <v>#N/A</v>
      </c>
      <c r="G5" t="e" cm="1">
        <f t="array" ref="G5">IF(A5=0,"",INDEX(Master_Sheet!G:G,MATCH(A5,Master_Sheet!A:A,0)))</f>
        <v>#N/A</v>
      </c>
    </row>
    <row r="6" spans="1:7">
      <c r="A6">
        <f>IF(ISBLANK(Initial_entry!A5),,Initial_entry!A5)</f>
        <v>4</v>
      </c>
      <c r="B6" t="str">
        <f>IF(ISBLANK(Initial_entry!B5),"",Initial_entry!B5)</f>
        <v>C2</v>
      </c>
      <c r="C6" t="str">
        <f>IF(ISBLANK(Initial_entry!C5),"",Initial_entry!C5)</f>
        <v>Samsung</v>
      </c>
      <c r="D6" t="e" cm="1">
        <f t="array" ref="D6">IF(A6=0,"",INDEX(Master_Sheet!K:K,MATCH(A6,Master_Sheet!A:A,0)))</f>
        <v>#N/A</v>
      </c>
      <c r="E6" t="e" cm="1">
        <f t="array" ref="E6">IF(A6=0,"",INDEX(Master_Sheet!L:L,MATCH(A6,Master_Sheet!A:A,0)))</f>
        <v>#N/A</v>
      </c>
      <c r="F6" t="e" cm="1">
        <f t="array" ref="F6">IF(A6=0," ",INDEX(Master_Sheet!J:J,MATCH(A6,Master_Sheet!A:A,0)))</f>
        <v>#N/A</v>
      </c>
      <c r="G6" t="e" cm="1">
        <f t="array" ref="G6">IF(A6=0,"",INDEX(Master_Sheet!G:G,MATCH(A6,Master_Sheet!A:A,0)))</f>
        <v>#N/A</v>
      </c>
    </row>
    <row r="7" spans="1:7">
      <c r="A7">
        <f>IF(ISBLANK(Initial_entry!A6),,Initial_entry!A6)</f>
        <v>5</v>
      </c>
      <c r="B7" t="str">
        <f>IF(ISBLANK(Initial_entry!B6),"",Initial_entry!B6)</f>
        <v>C3, C7, C10</v>
      </c>
      <c r="C7" t="str">
        <f>IF(ISBLANK(Initial_entry!C6),"",Initial_entry!C6)</f>
        <v>TDK</v>
      </c>
      <c r="D7" t="e" cm="1">
        <f t="array" ref="D7">IF(A7=0,"",INDEX(Master_Sheet!K:K,MATCH(A7,Master_Sheet!A:A,0)))</f>
        <v>#N/A</v>
      </c>
      <c r="E7" t="e" cm="1">
        <f t="array" ref="E7">IF(A7=0,"",INDEX(Master_Sheet!L:L,MATCH(A7,Master_Sheet!A:A,0)))</f>
        <v>#N/A</v>
      </c>
      <c r="F7" t="e" cm="1">
        <f t="array" ref="F7">IF(A7=0," ",INDEX(Master_Sheet!J:J,MATCH(A7,Master_Sheet!A:A,0)))</f>
        <v>#N/A</v>
      </c>
      <c r="G7" t="e" cm="1">
        <f t="array" ref="G7">IF(A7=0,"",INDEX(Master_Sheet!G:G,MATCH(A7,Master_Sheet!A:A,0)))</f>
        <v>#N/A</v>
      </c>
    </row>
    <row r="8" spans="1:7">
      <c r="A8">
        <f>IF(ISBLANK(Initial_entry!A7),,Initial_entry!A7)</f>
        <v>6</v>
      </c>
      <c r="B8" t="str">
        <f>IF(ISBLANK(Initial_entry!B7),"",Initial_entry!B7)</f>
        <v>C4</v>
      </c>
      <c r="C8" t="str">
        <f>IF(ISBLANK(Initial_entry!C7),"",Initial_entry!C7)</f>
        <v>TDK</v>
      </c>
      <c r="D8" t="e" cm="1">
        <f t="array" ref="D8">IF(A8=0,"",INDEX(Master_Sheet!K:K,MATCH(A8,Master_Sheet!A:A,0)))</f>
        <v>#N/A</v>
      </c>
      <c r="E8" t="e" cm="1">
        <f t="array" ref="E8">IF(A8=0,"",INDEX(Master_Sheet!L:L,MATCH(A8,Master_Sheet!A:A,0)))</f>
        <v>#N/A</v>
      </c>
      <c r="F8" t="e" cm="1">
        <f t="array" ref="F8">IF(A8=0," ",INDEX(Master_Sheet!J:J,MATCH(A8,Master_Sheet!A:A,0)))</f>
        <v>#N/A</v>
      </c>
      <c r="G8" t="e" cm="1">
        <f t="array" ref="G8">IF(A8=0,"",INDEX(Master_Sheet!G:G,MATCH(A8,Master_Sheet!A:A,0)))</f>
        <v>#N/A</v>
      </c>
    </row>
    <row r="9" spans="1:7">
      <c r="A9">
        <f>IF(ISBLANK(Initial_entry!A8),,Initial_entry!A8)</f>
        <v>7</v>
      </c>
      <c r="B9" t="str">
        <f>IF(ISBLANK(Initial_entry!B8),"",Initial_entry!B8)</f>
        <v>C5</v>
      </c>
      <c r="C9" t="str">
        <f>IF(ISBLANK(Initial_entry!C8),"",Initial_entry!C8)</f>
        <v>Samsung</v>
      </c>
      <c r="D9" t="e" cm="1">
        <f t="array" ref="D9">IF(A9=0,"",INDEX(Master_Sheet!K:K,MATCH(A9,Master_Sheet!A:A,0)))</f>
        <v>#N/A</v>
      </c>
      <c r="E9" t="e" cm="1">
        <f t="array" ref="E9">IF(A9=0,"",INDEX(Master_Sheet!L:L,MATCH(A9,Master_Sheet!A:A,0)))</f>
        <v>#N/A</v>
      </c>
      <c r="F9" t="e" cm="1">
        <f t="array" ref="F9">IF(A9=0," ",INDEX(Master_Sheet!J:J,MATCH(A9,Master_Sheet!A:A,0)))</f>
        <v>#N/A</v>
      </c>
      <c r="G9" t="e" cm="1">
        <f t="array" ref="G9">IF(A9=0,"",INDEX(Master_Sheet!G:G,MATCH(A9,Master_Sheet!A:A,0)))</f>
        <v>#N/A</v>
      </c>
    </row>
    <row r="10" spans="1:7">
      <c r="A10">
        <f>IF(ISBLANK(Initial_entry!A9),,Initial_entry!A9)</f>
        <v>8</v>
      </c>
      <c r="B10" t="str">
        <f>IF(ISBLANK(Initial_entry!B9),"",Initial_entry!B9)</f>
        <v>C6, C9</v>
      </c>
      <c r="C10" t="str">
        <f>IF(ISBLANK(Initial_entry!C9),"",Initial_entry!C9)</f>
        <v>TDK</v>
      </c>
      <c r="D10" t="e" cm="1">
        <f t="array" ref="D10">IF(A10=0,"",INDEX(Master_Sheet!K:K,MATCH(A10,Master_Sheet!A:A,0)))</f>
        <v>#N/A</v>
      </c>
      <c r="E10" t="e" cm="1">
        <f t="array" ref="E10">IF(A10=0,"",INDEX(Master_Sheet!L:L,MATCH(A10,Master_Sheet!A:A,0)))</f>
        <v>#N/A</v>
      </c>
      <c r="F10" t="e" cm="1">
        <f t="array" ref="F10">IF(A10=0," ",INDEX(Master_Sheet!J:J,MATCH(A10,Master_Sheet!A:A,0)))</f>
        <v>#N/A</v>
      </c>
      <c r="G10" t="e" cm="1">
        <f t="array" ref="G10">IF(A10=0,"",INDEX(Master_Sheet!G:G,MATCH(A10,Master_Sheet!A:A,0)))</f>
        <v>#N/A</v>
      </c>
    </row>
    <row r="11" spans="1:7">
      <c r="A11">
        <f>IF(ISBLANK(Initial_entry!A10),,Initial_entry!A10)</f>
        <v>9</v>
      </c>
      <c r="B11" t="str">
        <f>IF(ISBLANK(Initial_entry!B10),"",Initial_entry!B10)</f>
        <v>C8</v>
      </c>
      <c r="C11" t="str">
        <f>IF(ISBLANK(Initial_entry!C10),"",Initial_entry!C10)</f>
        <v>YAGEO</v>
      </c>
      <c r="D11" t="e" cm="1">
        <f t="array" ref="D11">IF(A11=0,"",INDEX(Master_Sheet!K:K,MATCH(A11,Master_Sheet!A:A,0)))</f>
        <v>#N/A</v>
      </c>
      <c r="E11" t="e" cm="1">
        <f t="array" ref="E11">IF(A11=0,"",INDEX(Master_Sheet!L:L,MATCH(A11,Master_Sheet!A:A,0)))</f>
        <v>#N/A</v>
      </c>
      <c r="F11" t="e" cm="1">
        <f t="array" ref="F11">IF(A11=0," ",INDEX(Master_Sheet!J:J,MATCH(A11,Master_Sheet!A:A,0)))</f>
        <v>#N/A</v>
      </c>
      <c r="G11" t="e" cm="1">
        <f t="array" ref="G11">IF(A11=0,"",INDEX(Master_Sheet!G:G,MATCH(A11,Master_Sheet!A:A,0)))</f>
        <v>#N/A</v>
      </c>
    </row>
    <row r="12" spans="1:7">
      <c r="A12">
        <f>IF(ISBLANK(Initial_entry!A11),,Initial_entry!A11)</f>
        <v>10</v>
      </c>
      <c r="B12" t="str">
        <f>IF(ISBLANK(Initial_entry!B11),"",Initial_entry!B11)</f>
        <v>Connector</v>
      </c>
      <c r="C12" t="str">
        <f>IF(ISBLANK(Initial_entry!C11),"",Initial_entry!C11)</f>
        <v>Molex</v>
      </c>
      <c r="D12" t="e" cm="1">
        <f t="array" ref="D12">IF(A12=0,"",INDEX(Master_Sheet!K:K,MATCH(A12,Master_Sheet!A:A,0)))</f>
        <v>#N/A</v>
      </c>
      <c r="E12" t="e" cm="1">
        <f t="array" ref="E12">IF(A12=0,"",INDEX(Master_Sheet!L:L,MATCH(A12,Master_Sheet!A:A,0)))</f>
        <v>#N/A</v>
      </c>
      <c r="F12" t="e" cm="1">
        <f t="array" ref="F12">IF(A12=0," ",INDEX(Master_Sheet!J:J,MATCH(A12,Master_Sheet!A:A,0)))</f>
        <v>#N/A</v>
      </c>
      <c r="G12" t="e" cm="1">
        <f t="array" ref="G12">IF(A12=0,"",INDEX(Master_Sheet!G:G,MATCH(A12,Master_Sheet!A:A,0)))</f>
        <v>#N/A</v>
      </c>
    </row>
    <row r="13" spans="1:7">
      <c r="A13">
        <f>IF(ISBLANK(Initial_entry!A12),,Initial_entry!A12)</f>
        <v>11</v>
      </c>
      <c r="B13" t="str">
        <f>IF(ISBLANK(Initial_entry!B12),"",Initial_entry!B12)</f>
        <v>D1</v>
      </c>
      <c r="C13" t="str">
        <f>IF(ISBLANK(Initial_entry!C12),"",Initial_entry!C12)</f>
        <v>ON Semiconductor</v>
      </c>
      <c r="D13" t="e" cm="1">
        <f t="array" ref="D13">IF(A13=0,"",INDEX(Master_Sheet!K:K,MATCH(A13,Master_Sheet!A:A,0)))</f>
        <v>#N/A</v>
      </c>
      <c r="E13" t="e" cm="1">
        <f t="array" ref="E13">IF(A13=0,"",INDEX(Master_Sheet!L:L,MATCH(A13,Master_Sheet!A:A,0)))</f>
        <v>#N/A</v>
      </c>
      <c r="F13" t="e" cm="1">
        <f t="array" ref="F13">IF(A13=0," ",INDEX(Master_Sheet!J:J,MATCH(A13,Master_Sheet!A:A,0)))</f>
        <v>#N/A</v>
      </c>
      <c r="G13" t="e" cm="1">
        <f t="array" ref="G13">IF(A13=0,"",INDEX(Master_Sheet!G:G,MATCH(A13,Master_Sheet!A:A,0)))</f>
        <v>#N/A</v>
      </c>
    </row>
    <row r="14" spans="1:7">
      <c r="A14">
        <f>IF(ISBLANK(Initial_entry!A13),,Initial_entry!A13)</f>
        <v>12</v>
      </c>
      <c r="B14" t="str">
        <f>IF(ISBLANK(Initial_entry!B13),"",Initial_entry!B13)</f>
        <v>IC1</v>
      </c>
      <c r="C14" t="str">
        <f>IF(ISBLANK(Initial_entry!C13),"",Initial_entry!C13)</f>
        <v>ON Semiconductor</v>
      </c>
      <c r="D14" t="e" cm="1">
        <f t="array" ref="D14">IF(A14=0,"",INDEX(Master_Sheet!K:K,MATCH(A14,Master_Sheet!A:A,0)))</f>
        <v>#N/A</v>
      </c>
      <c r="E14" t="e" cm="1">
        <f t="array" ref="E14">IF(A14=0,"",INDEX(Master_Sheet!L:L,MATCH(A14,Master_Sheet!A:A,0)))</f>
        <v>#N/A</v>
      </c>
      <c r="F14" t="e" cm="1">
        <f t="array" ref="F14">IF(A14=0," ",INDEX(Master_Sheet!J:J,MATCH(A14,Master_Sheet!A:A,0)))</f>
        <v>#N/A</v>
      </c>
      <c r="G14" t="e" cm="1">
        <f t="array" ref="G14">IF(A14=0,"",INDEX(Master_Sheet!G:G,MATCH(A14,Master_Sheet!A:A,0)))</f>
        <v>#N/A</v>
      </c>
    </row>
    <row r="15" spans="1:7">
      <c r="A15">
        <f>IF(ISBLANK(Initial_entry!A14),,Initial_entry!A14)</f>
        <v>13</v>
      </c>
      <c r="B15" t="str">
        <f>IF(ISBLANK(Initial_entry!B14),"",Initial_entry!B14)</f>
        <v>R1, R5</v>
      </c>
      <c r="C15" t="str">
        <f>IF(ISBLANK(Initial_entry!C14),"",Initial_entry!C14)</f>
        <v>Yageo / Phycomp</v>
      </c>
      <c r="D15" t="e" cm="1">
        <f t="array" ref="D15">IF(A15=0,"",INDEX(Master_Sheet!K:K,MATCH(A15,Master_Sheet!A:A,0)))</f>
        <v>#N/A</v>
      </c>
      <c r="E15" t="e" cm="1">
        <f t="array" ref="E15">IF(A15=0,"",INDEX(Master_Sheet!L:L,MATCH(A15,Master_Sheet!A:A,0)))</f>
        <v>#N/A</v>
      </c>
      <c r="F15" t="e" cm="1">
        <f t="array" ref="F15">IF(A15=0," ",INDEX(Master_Sheet!J:J,MATCH(A15,Master_Sheet!A:A,0)))</f>
        <v>#N/A</v>
      </c>
      <c r="G15" t="e" cm="1">
        <f t="array" ref="G15">IF(A15=0,"",INDEX(Master_Sheet!G:G,MATCH(A15,Master_Sheet!A:A,0)))</f>
        <v>#N/A</v>
      </c>
    </row>
    <row r="16" spans="1:7">
      <c r="A16">
        <f>IF(ISBLANK(Initial_entry!A15),,Initial_entry!A15)</f>
        <v>14</v>
      </c>
      <c r="B16" t="str">
        <f>IF(ISBLANK(Initial_entry!B15),"",Initial_entry!B15)</f>
        <v>R2</v>
      </c>
      <c r="C16" t="str">
        <f>IF(ISBLANK(Initial_entry!C15),"",Initial_entry!C15)</f>
        <v>Yageo / Phycomp</v>
      </c>
      <c r="D16" t="e" cm="1">
        <f t="array" ref="D16">IF(A16=0,"",INDEX(Master_Sheet!K:K,MATCH(A16,Master_Sheet!A:A,0)))</f>
        <v>#N/A</v>
      </c>
      <c r="E16" t="e" cm="1">
        <f t="array" ref="E16">IF(A16=0,"",INDEX(Master_Sheet!L:L,MATCH(A16,Master_Sheet!A:A,0)))</f>
        <v>#N/A</v>
      </c>
      <c r="F16" t="e" cm="1">
        <f t="array" ref="F16">IF(A16=0," ",INDEX(Master_Sheet!J:J,MATCH(A16,Master_Sheet!A:A,0)))</f>
        <v>#N/A</v>
      </c>
      <c r="G16" t="e" cm="1">
        <f t="array" ref="G16">IF(A16=0,"",INDEX(Master_Sheet!G:G,MATCH(A16,Master_Sheet!A:A,0)))</f>
        <v>#N/A</v>
      </c>
    </row>
    <row r="17" spans="1:7">
      <c r="A17">
        <f>IF(ISBLANK(Initial_entry!A16),,Initial_entry!A16)</f>
        <v>15</v>
      </c>
      <c r="B17" t="str">
        <f>IF(ISBLANK(Initial_entry!B16),"",Initial_entry!B16)</f>
        <v>R3</v>
      </c>
      <c r="C17" t="str">
        <f>IF(ISBLANK(Initial_entry!C16),"",Initial_entry!C16)</f>
        <v>Samsung</v>
      </c>
      <c r="D17" t="e" cm="1">
        <f t="array" ref="D17">IF(A17=0,"",INDEX(Master_Sheet!K:K,MATCH(A17,Master_Sheet!A:A,0)))</f>
        <v>#N/A</v>
      </c>
      <c r="E17" t="e" cm="1">
        <f t="array" ref="E17">IF(A17=0,"",INDEX(Master_Sheet!L:L,MATCH(A17,Master_Sheet!A:A,0)))</f>
        <v>#N/A</v>
      </c>
      <c r="F17" t="e" cm="1">
        <f t="array" ref="F17">IF(A17=0," ",INDEX(Master_Sheet!J:J,MATCH(A17,Master_Sheet!A:A,0)))</f>
        <v>#N/A</v>
      </c>
      <c r="G17" t="e" cm="1">
        <f t="array" ref="G17">IF(A17=0,"",INDEX(Master_Sheet!G:G,MATCH(A17,Master_Sheet!A:A,0)))</f>
        <v>#N/A</v>
      </c>
    </row>
    <row r="18" spans="1:7">
      <c r="A18">
        <f>IF(ISBLANK(Initial_entry!A17),,Initial_entry!A17)</f>
        <v>16</v>
      </c>
      <c r="B18" t="str">
        <f>IF(ISBLANK(Initial_entry!B17),"",Initial_entry!B17)</f>
        <v>R4</v>
      </c>
      <c r="C18" t="str">
        <f>IF(ISBLANK(Initial_entry!C17),"",Initial_entry!C17)</f>
        <v>Yageo</v>
      </c>
      <c r="D18" t="e" cm="1">
        <f t="array" ref="D18">IF(A18=0,"",INDEX(Master_Sheet!K:K,MATCH(A18,Master_Sheet!A:A,0)))</f>
        <v>#N/A</v>
      </c>
      <c r="E18" t="e" cm="1">
        <f t="array" ref="E18">IF(A18=0,"",INDEX(Master_Sheet!L:L,MATCH(A18,Master_Sheet!A:A,0)))</f>
        <v>#N/A</v>
      </c>
      <c r="F18" t="e" cm="1">
        <f t="array" ref="F18">IF(A18=0," ",INDEX(Master_Sheet!J:J,MATCH(A18,Master_Sheet!A:A,0)))</f>
        <v>#N/A</v>
      </c>
      <c r="G18" t="e" cm="1">
        <f t="array" ref="G18">IF(A18=0,"",INDEX(Master_Sheet!G:G,MATCH(A18,Master_Sheet!A:A,0)))</f>
        <v>#N/A</v>
      </c>
    </row>
    <row r="19" spans="1:7">
      <c r="A19">
        <f>IF(ISBLANK(Initial_entry!A18),,Initial_entry!A18)</f>
        <v>17</v>
      </c>
      <c r="B19" t="str">
        <f>IF(ISBLANK(Initial_entry!B18),"",Initial_entry!B18)</f>
        <v>R6, R8</v>
      </c>
      <c r="C19" t="str">
        <f>IF(ISBLANK(Initial_entry!C18),"",Initial_entry!C18)</f>
        <v>Yageo</v>
      </c>
      <c r="D19" t="e" cm="1">
        <f t="array" ref="D19">IF(A19=0,"",INDEX(Master_Sheet!K:K,MATCH(A19,Master_Sheet!A:A,0)))</f>
        <v>#N/A</v>
      </c>
      <c r="E19" t="e" cm="1">
        <f t="array" ref="E19">IF(A19=0,"",INDEX(Master_Sheet!L:L,MATCH(A19,Master_Sheet!A:A,0)))</f>
        <v>#N/A</v>
      </c>
      <c r="F19" t="e" cm="1">
        <f t="array" ref="F19">IF(A19=0," ",INDEX(Master_Sheet!J:J,MATCH(A19,Master_Sheet!A:A,0)))</f>
        <v>#N/A</v>
      </c>
      <c r="G19" t="e" cm="1">
        <f t="array" ref="G19">IF(A19=0,"",INDEX(Master_Sheet!G:G,MATCH(A19,Master_Sheet!A:A,0)))</f>
        <v>#N/A</v>
      </c>
    </row>
    <row r="20" spans="1:7">
      <c r="A20">
        <f>IF(ISBLANK(Initial_entry!A19),,Initial_entry!A19)</f>
        <v>18</v>
      </c>
      <c r="B20" t="str">
        <f>IF(ISBLANK(Initial_entry!B19),"",Initial_entry!B19)</f>
        <v>R7, R9</v>
      </c>
      <c r="C20" t="str">
        <f>IF(ISBLANK(Initial_entry!C19),"",Initial_entry!C19)</f>
        <v>RC0603FR−072RL</v>
      </c>
      <c r="D20" t="e" cm="1">
        <f t="array" ref="D20">IF(A20=0,"",INDEX(Master_Sheet!K:K,MATCH(A20,Master_Sheet!A:A,0)))</f>
        <v>#N/A</v>
      </c>
      <c r="E20" t="e" cm="1">
        <f t="array" ref="E20">IF(A20=0,"",INDEX(Master_Sheet!L:L,MATCH(A20,Master_Sheet!A:A,0)))</f>
        <v>#N/A</v>
      </c>
      <c r="F20" t="e" cm="1">
        <f t="array" ref="F20">IF(A20=0," ",INDEX(Master_Sheet!J:J,MATCH(A20,Master_Sheet!A:A,0)))</f>
        <v>#N/A</v>
      </c>
      <c r="G20" t="e" cm="1">
        <f t="array" ref="G20">IF(A20=0,"",INDEX(Master_Sheet!G:G,MATCH(A20,Master_Sheet!A:A,0)))</f>
        <v>#N/A</v>
      </c>
    </row>
    <row r="21" spans="1:7">
      <c r="A21">
        <f>IF(ISBLANK(Initial_entry!A20),,Initial_entry!A20)</f>
        <v>19</v>
      </c>
      <c r="B21" t="str">
        <f>IF(ISBLANK(Initial_entry!B20),"",Initial_entry!B20)</f>
        <v>R10</v>
      </c>
      <c r="C21" t="str">
        <f>IF(ISBLANK(Initial_entry!C20),"",Initial_entry!C20)</f>
        <v>Yageo</v>
      </c>
      <c r="D21" t="e" cm="1">
        <f t="array" ref="D21">IF(A21=0,"",INDEX(Master_Sheet!K:K,MATCH(A21,Master_Sheet!A:A,0)))</f>
        <v>#N/A</v>
      </c>
      <c r="E21" t="e" cm="1">
        <f t="array" ref="E21">IF(A21=0,"",INDEX(Master_Sheet!L:L,MATCH(A21,Master_Sheet!A:A,0)))</f>
        <v>#N/A</v>
      </c>
      <c r="F21" t="e" cm="1">
        <f t="array" ref="F21">IF(A21=0," ",INDEX(Master_Sheet!J:J,MATCH(A21,Master_Sheet!A:A,0)))</f>
        <v>#N/A</v>
      </c>
      <c r="G21" t="e" cm="1">
        <f t="array" ref="G21">IF(A21=0,"",INDEX(Master_Sheet!G:G,MATCH(A21,Master_Sheet!A:A,0)))</f>
        <v>#N/A</v>
      </c>
    </row>
    <row r="22" spans="1:7">
      <c r="A22">
        <f>IF(ISBLANK(Initial_entry!A21),,Initial_entry!A21)</f>
        <v>0</v>
      </c>
      <c r="B22" t="str">
        <f>IF(ISBLANK(Initial_entry!B21),"",Initial_entry!B21)</f>
        <v/>
      </c>
      <c r="C22" t="str">
        <f>IF(ISBLANK(Initial_entry!C21),"",Initial_entry!C21)</f>
        <v/>
      </c>
      <c r="D22" t="str" cm="1">
        <f t="array" ref="D22">IF(A22=0,"",INDEX(Master_Sheet!K:K,MATCH(A22,Master_Sheet!A:A,0)))</f>
        <v/>
      </c>
      <c r="E22" t="str" cm="1">
        <f t="array" ref="E22">IF(A22=0,"",INDEX(Master_Sheet!L:L,MATCH(A22,Master_Sheet!A:A,0)))</f>
        <v/>
      </c>
      <c r="F22" t="str" cm="1">
        <f t="array" ref="F22">IF(A22=0," ",INDEX(Master_Sheet!J:J,MATCH(A22,Master_Sheet!A:A,0)))</f>
        <v xml:space="preserve"> </v>
      </c>
      <c r="G22" t="str" cm="1">
        <f t="array" ref="G22">IF(A22=0,"",INDEX(Master_Sheet!G:G,MATCH(A22,Master_Sheet!A:A,0)))</f>
        <v/>
      </c>
    </row>
    <row r="23" spans="1:7">
      <c r="A23">
        <f>IF(ISBLANK(Initial_entry!A22),,Initial_entry!A22)</f>
        <v>0</v>
      </c>
      <c r="B23" t="str">
        <f>IF(ISBLANK(Initial_entry!B22),"",Initial_entry!B22)</f>
        <v/>
      </c>
      <c r="C23" t="str">
        <f>IF(ISBLANK(Initial_entry!C22),"",Initial_entry!C22)</f>
        <v/>
      </c>
      <c r="D23" t="str" cm="1">
        <f t="array" ref="D23">IF(A23=0,"",INDEX(Master_Sheet!K:K,MATCH(A23,Master_Sheet!A:A,0)))</f>
        <v/>
      </c>
      <c r="E23" t="str" cm="1">
        <f t="array" ref="E23">IF(A23=0,"",INDEX(Master_Sheet!L:L,MATCH(A23,Master_Sheet!A:A,0)))</f>
        <v/>
      </c>
      <c r="F23" t="str" cm="1">
        <f t="array" ref="F23">IF(A23=0," ",INDEX(Master_Sheet!J:J,MATCH(A23,Master_Sheet!A:A,0)))</f>
        <v xml:space="preserve"> </v>
      </c>
      <c r="G23" t="str" cm="1">
        <f t="array" ref="G23">IF(A23=0,"",INDEX(Master_Sheet!G:G,MATCH(A23,Master_Sheet!A:A,0)))</f>
        <v/>
      </c>
    </row>
    <row r="24" spans="1:7">
      <c r="A24">
        <f>IF(ISBLANK(Initial_entry!A23),,Initial_entry!A23)</f>
        <v>0</v>
      </c>
      <c r="B24" t="str">
        <f>IF(ISBLANK(Initial_entry!B23),"",Initial_entry!B23)</f>
        <v/>
      </c>
      <c r="C24" t="str">
        <f>IF(ISBLANK(Initial_entry!C23),"",Initial_entry!C23)</f>
        <v/>
      </c>
      <c r="D24" t="str" cm="1">
        <f t="array" ref="D24">IF(A24=0,"",INDEX(Master_Sheet!K:K,MATCH(A24,Master_Sheet!A:A,0)))</f>
        <v/>
      </c>
      <c r="E24" t="str" cm="1">
        <f t="array" ref="E24">IF(A24=0,"",INDEX(Master_Sheet!L:L,MATCH(A24,Master_Sheet!A:A,0)))</f>
        <v/>
      </c>
      <c r="F24" t="str" cm="1">
        <f t="array" ref="F24">IF(A24=0," ",INDEX(Master_Sheet!J:J,MATCH(A24,Master_Sheet!A:A,0)))</f>
        <v xml:space="preserve"> </v>
      </c>
      <c r="G24" t="str" cm="1">
        <f t="array" ref="G24">IF(A24=0,"",INDEX(Master_Sheet!G:G,MATCH(A24,Master_Sheet!A:A,0)))</f>
        <v/>
      </c>
    </row>
    <row r="25" spans="1:7">
      <c r="A25">
        <f>IF(ISBLANK(Initial_entry!A24),,Initial_entry!A24)</f>
        <v>0</v>
      </c>
      <c r="B25" t="str">
        <f>IF(ISBLANK(Initial_entry!B24),"",Initial_entry!B24)</f>
        <v/>
      </c>
      <c r="C25" t="str">
        <f>IF(ISBLANK(Initial_entry!C24),"",Initial_entry!C24)</f>
        <v/>
      </c>
      <c r="D25" t="str" cm="1">
        <f t="array" ref="D25">IF(A25=0,"",INDEX(Master_Sheet!K:K,MATCH(A25,Master_Sheet!A:A,0)))</f>
        <v/>
      </c>
      <c r="E25" t="str" cm="1">
        <f t="array" ref="E25">IF(A25=0,"",INDEX(Master_Sheet!L:L,MATCH(A25,Master_Sheet!A:A,0)))</f>
        <v/>
      </c>
      <c r="F25" t="str" cm="1">
        <f t="array" ref="F25">IF(A25=0," ",INDEX(Master_Sheet!J:J,MATCH(A25,Master_Sheet!A:A,0)))</f>
        <v xml:space="preserve"> </v>
      </c>
      <c r="G25" t="str" cm="1">
        <f t="array" ref="G25">IF(A25=0,"",INDEX(Master_Sheet!G:G,MATCH(A25,Master_Sheet!A:A,0)))</f>
        <v/>
      </c>
    </row>
    <row r="26" spans="1:7">
      <c r="A26">
        <f>IF(ISBLANK(Initial_entry!A25),,Initial_entry!A25)</f>
        <v>0</v>
      </c>
      <c r="B26" t="str">
        <f>IF(ISBLANK(Initial_entry!B25),"",Initial_entry!B25)</f>
        <v/>
      </c>
      <c r="C26" t="str">
        <f>IF(ISBLANK(Initial_entry!C25),"",Initial_entry!C25)</f>
        <v/>
      </c>
      <c r="D26" t="str" cm="1">
        <f t="array" ref="D26">IF(A26=0,"",INDEX(Master_Sheet!K:K,MATCH(A26,Master_Sheet!A:A,0)))</f>
        <v/>
      </c>
      <c r="E26" t="str" cm="1">
        <f t="array" ref="E26">IF(A26=0,"",INDEX(Master_Sheet!L:L,MATCH(A26,Master_Sheet!A:A,0)))</f>
        <v/>
      </c>
      <c r="F26" t="str" cm="1">
        <f t="array" ref="F26">IF(A26=0," ",INDEX(Master_Sheet!J:J,MATCH(A26,Master_Sheet!A:A,0)))</f>
        <v xml:space="preserve"> </v>
      </c>
      <c r="G26" t="str" cm="1">
        <f t="array" ref="G26">IF(A26=0,"",INDEX(Master_Sheet!G:G,MATCH(A26,Master_Sheet!A:A,0)))</f>
        <v/>
      </c>
    </row>
    <row r="27" spans="1:7">
      <c r="A27">
        <f>IF(ISBLANK(Initial_entry!A26),,Initial_entry!A26)</f>
        <v>0</v>
      </c>
      <c r="B27" t="str">
        <f>IF(ISBLANK(Initial_entry!B26),"",Initial_entry!B26)</f>
        <v/>
      </c>
      <c r="C27" t="str">
        <f>IF(ISBLANK(Initial_entry!C26),"",Initial_entry!C26)</f>
        <v/>
      </c>
      <c r="D27" t="str" cm="1">
        <f t="array" ref="D27">IF(A27=0,"",INDEX(Master_Sheet!K:K,MATCH(A27,Master_Sheet!A:A,0)))</f>
        <v/>
      </c>
      <c r="E27" t="str" cm="1">
        <f t="array" ref="E27">IF(A27=0,"",INDEX(Master_Sheet!L:L,MATCH(A27,Master_Sheet!A:A,0)))</f>
        <v/>
      </c>
      <c r="F27" t="str" cm="1">
        <f t="array" ref="F27">IF(A27=0," ",INDEX(Master_Sheet!J:J,MATCH(A27,Master_Sheet!A:A,0)))</f>
        <v xml:space="preserve"> </v>
      </c>
      <c r="G27" t="str" cm="1">
        <f t="array" ref="G27">IF(A27=0,"",INDEX(Master_Sheet!G:G,MATCH(A27,Master_Sheet!A:A,0)))</f>
        <v/>
      </c>
    </row>
    <row r="28" spans="1:7">
      <c r="A28">
        <f>IF(ISBLANK(Initial_entry!A27),,Initial_entry!A27)</f>
        <v>0</v>
      </c>
      <c r="B28" t="str">
        <f>IF(ISBLANK(Initial_entry!B27),"",Initial_entry!B27)</f>
        <v/>
      </c>
      <c r="C28" t="str">
        <f>IF(ISBLANK(Initial_entry!C27),"",Initial_entry!C27)</f>
        <v/>
      </c>
      <c r="D28" t="str" cm="1">
        <f t="array" ref="D28">IF(A28=0,"",INDEX(Master_Sheet!K:K,MATCH(A28,Master_Sheet!A:A,0)))</f>
        <v/>
      </c>
      <c r="E28" t="str" cm="1">
        <f t="array" ref="E28">IF(A28=0,"",INDEX(Master_Sheet!L:L,MATCH(A28,Master_Sheet!A:A,0)))</f>
        <v/>
      </c>
      <c r="F28" t="str" cm="1">
        <f t="array" ref="F28">IF(A28=0," ",INDEX(Master_Sheet!J:J,MATCH(A28,Master_Sheet!A:A,0)))</f>
        <v xml:space="preserve"> </v>
      </c>
      <c r="G28" t="str" cm="1">
        <f t="array" ref="G28">IF(A28=0,"",INDEX(Master_Sheet!G:G,MATCH(A28,Master_Sheet!A:A,0)))</f>
        <v/>
      </c>
    </row>
    <row r="29" spans="1:7">
      <c r="A29">
        <f>IF(ISBLANK(Initial_entry!A28),,Initial_entry!A28)</f>
        <v>0</v>
      </c>
      <c r="B29" t="str">
        <f>IF(ISBLANK(Initial_entry!B28),"",Initial_entry!B28)</f>
        <v/>
      </c>
      <c r="C29" t="str">
        <f>IF(ISBLANK(Initial_entry!C28),"",Initial_entry!C28)</f>
        <v/>
      </c>
      <c r="D29" t="str" cm="1">
        <f t="array" ref="D29">IF(A29=0,"",INDEX(Master_Sheet!K:K,MATCH(A29,Master_Sheet!A:A,0)))</f>
        <v/>
      </c>
      <c r="E29" t="str" cm="1">
        <f t="array" ref="E29">IF(A29=0,"",INDEX(Master_Sheet!L:L,MATCH(A29,Master_Sheet!A:A,0)))</f>
        <v/>
      </c>
      <c r="F29" t="str" cm="1">
        <f t="array" ref="F29">IF(A29=0," ",INDEX(Master_Sheet!J:J,MATCH(A29,Master_Sheet!A:A,0)))</f>
        <v xml:space="preserve"> </v>
      </c>
      <c r="G29" t="str" cm="1">
        <f t="array" ref="G29">IF(A29=0,"",INDEX(Master_Sheet!G:G,MATCH(A29,Master_Sheet!A:A,0)))</f>
        <v/>
      </c>
    </row>
    <row r="30" spans="1:7">
      <c r="A30">
        <f>IF(ISBLANK(Initial_entry!A29),,Initial_entry!A29)</f>
        <v>0</v>
      </c>
      <c r="B30" t="str">
        <f>IF(ISBLANK(Initial_entry!B29),"",Initial_entry!B29)</f>
        <v/>
      </c>
      <c r="C30" t="str">
        <f>IF(ISBLANK(Initial_entry!C29),"",Initial_entry!C29)</f>
        <v/>
      </c>
      <c r="D30" t="str" cm="1">
        <f t="array" ref="D30">IF(A30=0,"",INDEX(Master_Sheet!K:K,MATCH(A30,Master_Sheet!A:A,0)))</f>
        <v/>
      </c>
      <c r="E30" t="str" cm="1">
        <f t="array" ref="E30">IF(A30=0,"",INDEX(Master_Sheet!L:L,MATCH(A30,Master_Sheet!A:A,0)))</f>
        <v/>
      </c>
      <c r="F30" t="str" cm="1">
        <f t="array" ref="F30">IF(A30=0," ",INDEX(Master_Sheet!J:J,MATCH(A30,Master_Sheet!A:A,0)))</f>
        <v xml:space="preserve"> </v>
      </c>
      <c r="G30" t="str" cm="1">
        <f t="array" ref="G30">IF(A30=0,"",INDEX(Master_Sheet!G:G,MATCH(A30,Master_Sheet!A:A,0)))</f>
        <v/>
      </c>
    </row>
    <row r="31" spans="1:7">
      <c r="A31">
        <f>IF(ISBLANK(Initial_entry!A30),,Initial_entry!A30)</f>
        <v>0</v>
      </c>
      <c r="B31" t="str">
        <f>IF(ISBLANK(Initial_entry!B30),"",Initial_entry!B30)</f>
        <v/>
      </c>
      <c r="C31" t="str">
        <f>IF(ISBLANK(Initial_entry!C30),"",Initial_entry!C30)</f>
        <v/>
      </c>
      <c r="D31" t="str" cm="1">
        <f t="array" ref="D31">IF(A31=0,"",INDEX(Master_Sheet!K:K,MATCH(A31,Master_Sheet!A:A,0)))</f>
        <v/>
      </c>
      <c r="E31" t="str" cm="1">
        <f t="array" ref="E31">IF(A31=0,"",INDEX(Master_Sheet!L:L,MATCH(A31,Master_Sheet!A:A,0)))</f>
        <v/>
      </c>
      <c r="F31" t="str" cm="1">
        <f t="array" ref="F31">IF(A31=0," ",INDEX(Master_Sheet!J:J,MATCH(A31,Master_Sheet!A:A,0)))</f>
        <v xml:space="preserve"> </v>
      </c>
      <c r="G31" t="str" cm="1">
        <f t="array" ref="G31">IF(A31=0,"",INDEX(Master_Sheet!G:G,MATCH(A31,Master_Sheet!A:A,0)))</f>
        <v/>
      </c>
    </row>
    <row r="32" spans="1:7">
      <c r="A32">
        <f>IF(ISBLANK(Initial_entry!A31),,Initial_entry!A31)</f>
        <v>0</v>
      </c>
      <c r="B32" t="str">
        <f>IF(ISBLANK(Initial_entry!B31),"",Initial_entry!B31)</f>
        <v/>
      </c>
      <c r="C32" t="str">
        <f>IF(ISBLANK(Initial_entry!C31),"",Initial_entry!C31)</f>
        <v/>
      </c>
      <c r="D32" t="str" cm="1">
        <f t="array" ref="D32">IF(A32=0,"",INDEX(Master_Sheet!K:K,MATCH(A32,Master_Sheet!A:A,0)))</f>
        <v/>
      </c>
      <c r="E32" t="str" cm="1">
        <f t="array" ref="E32">IF(A32=0,"",INDEX(Master_Sheet!L:L,MATCH(A32,Master_Sheet!A:A,0)))</f>
        <v/>
      </c>
      <c r="F32" t="str" cm="1">
        <f t="array" ref="F32">IF(A32=0," ",INDEX(Master_Sheet!J:J,MATCH(A32,Master_Sheet!A:A,0)))</f>
        <v xml:space="preserve"> </v>
      </c>
      <c r="G32" t="str" cm="1">
        <f t="array" ref="G32">IF(A32=0,"",INDEX(Master_Sheet!G:G,MATCH(A32,Master_Sheet!A:A,0)))</f>
        <v/>
      </c>
    </row>
    <row r="33" spans="1:7">
      <c r="A33">
        <f>IF(ISBLANK(Initial_entry!A32),,Initial_entry!A32)</f>
        <v>0</v>
      </c>
      <c r="B33" t="str">
        <f>IF(ISBLANK(Initial_entry!B32),"",Initial_entry!B32)</f>
        <v/>
      </c>
      <c r="C33" t="str">
        <f>IF(ISBLANK(Initial_entry!C32),"",Initial_entry!C32)</f>
        <v/>
      </c>
      <c r="D33" t="str" cm="1">
        <f t="array" ref="D33">IF(A33=0,"",INDEX(Master_Sheet!K:K,MATCH(A33,Master_Sheet!A:A,0)))</f>
        <v/>
      </c>
      <c r="E33" t="str" cm="1">
        <f t="array" ref="E33">IF(A33=0,"",INDEX(Master_Sheet!L:L,MATCH(A33,Master_Sheet!A:A,0)))</f>
        <v/>
      </c>
      <c r="F33" t="str" cm="1">
        <f t="array" ref="F33">IF(A33=0," ",INDEX(Master_Sheet!J:J,MATCH(A33,Master_Sheet!A:A,0)))</f>
        <v xml:space="preserve"> </v>
      </c>
      <c r="G33" t="str" cm="1">
        <f t="array" ref="G33">IF(A33=0,"",INDEX(Master_Sheet!G:G,MATCH(A33,Master_Sheet!A:A,0)))</f>
        <v/>
      </c>
    </row>
    <row r="34" spans="1:7">
      <c r="A34">
        <f>IF(ISBLANK(Initial_entry!A33),,Initial_entry!A33)</f>
        <v>0</v>
      </c>
      <c r="B34" t="str">
        <f>IF(ISBLANK(Initial_entry!B33),"",Initial_entry!B33)</f>
        <v/>
      </c>
      <c r="C34" t="str">
        <f>IF(ISBLANK(Initial_entry!C33),"",Initial_entry!C33)</f>
        <v/>
      </c>
      <c r="D34" t="str" cm="1">
        <f t="array" ref="D34">IF(A34=0,"",INDEX(Master_Sheet!K:K,MATCH(A34,Master_Sheet!A:A,0)))</f>
        <v/>
      </c>
      <c r="E34" t="str" cm="1">
        <f t="array" ref="E34">IF(A34=0,"",INDEX(Master_Sheet!L:L,MATCH(A34,Master_Sheet!A:A,0)))</f>
        <v/>
      </c>
      <c r="F34" t="str" cm="1">
        <f t="array" ref="F34">IF(A34=0," ",INDEX(Master_Sheet!J:J,MATCH(A34,Master_Sheet!A:A,0)))</f>
        <v xml:space="preserve"> </v>
      </c>
      <c r="G34" t="str" cm="1">
        <f t="array" ref="G34">IF(A34=0,"",INDEX(Master_Sheet!G:G,MATCH(A34,Master_Sheet!A:A,0)))</f>
        <v/>
      </c>
    </row>
    <row r="35" spans="1:7">
      <c r="A35">
        <f>IF(ISBLANK(Initial_entry!A34),,Initial_entry!A34)</f>
        <v>0</v>
      </c>
      <c r="B35" t="str">
        <f>IF(ISBLANK(Initial_entry!B34),"",Initial_entry!B34)</f>
        <v/>
      </c>
      <c r="C35" t="str">
        <f>IF(ISBLANK(Initial_entry!C34),"",Initial_entry!C34)</f>
        <v/>
      </c>
      <c r="D35" t="str" cm="1">
        <f t="array" ref="D35">IF(A35=0,"",INDEX(Master_Sheet!K:K,MATCH(A35,Master_Sheet!A:A,0)))</f>
        <v/>
      </c>
      <c r="E35" t="str" cm="1">
        <f t="array" ref="E35">IF(A35=0,"",INDEX(Master_Sheet!L:L,MATCH(A35,Master_Sheet!A:A,0)))</f>
        <v/>
      </c>
      <c r="F35" t="str" cm="1">
        <f t="array" ref="F35">IF(A35=0," ",INDEX(Master_Sheet!J:J,MATCH(A35,Master_Sheet!A:A,0)))</f>
        <v xml:space="preserve"> </v>
      </c>
      <c r="G35" t="str" cm="1">
        <f t="array" ref="G35">IF(A35=0,"",INDEX(Master_Sheet!G:G,MATCH(A35,Master_Sheet!A:A,0)))</f>
        <v/>
      </c>
    </row>
    <row r="36" spans="1:7">
      <c r="A36">
        <f>IF(ISBLANK(Initial_entry!A35),,Initial_entry!A35)</f>
        <v>0</v>
      </c>
      <c r="B36" t="str">
        <f>IF(ISBLANK(Initial_entry!B35),"",Initial_entry!B35)</f>
        <v/>
      </c>
      <c r="C36" t="str">
        <f>IF(ISBLANK(Initial_entry!C35),"",Initial_entry!C35)</f>
        <v/>
      </c>
      <c r="D36" t="str" cm="1">
        <f t="array" ref="D36">IF(A36=0,"",INDEX(Master_Sheet!K:K,MATCH(A36,Master_Sheet!A:A,0)))</f>
        <v/>
      </c>
      <c r="E36" t="str" cm="1">
        <f t="array" ref="E36">IF(A36=0,"",INDEX(Master_Sheet!L:L,MATCH(A36,Master_Sheet!A:A,0)))</f>
        <v/>
      </c>
      <c r="F36" t="str" cm="1">
        <f t="array" ref="F36">IF(A36=0," ",INDEX(Master_Sheet!J:J,MATCH(A36,Master_Sheet!A:A,0)))</f>
        <v xml:space="preserve"> </v>
      </c>
      <c r="G36" t="str" cm="1">
        <f t="array" ref="G36">IF(A36=0,"",INDEX(Master_Sheet!G:G,MATCH(A36,Master_Sheet!A:A,0)))</f>
        <v/>
      </c>
    </row>
    <row r="37" spans="1:7">
      <c r="A37">
        <f>IF(ISBLANK(Initial_entry!A36),,Initial_entry!A36)</f>
        <v>0</v>
      </c>
      <c r="B37" t="str">
        <f>IF(ISBLANK(Initial_entry!B36),"",Initial_entry!B36)</f>
        <v/>
      </c>
      <c r="C37" t="str">
        <f>IF(ISBLANK(Initial_entry!C36),"",Initial_entry!C36)</f>
        <v/>
      </c>
      <c r="D37" t="str" cm="1">
        <f t="array" ref="D37">IF(A37=0,"",INDEX(Master_Sheet!K:K,MATCH(A37,Master_Sheet!A:A,0)))</f>
        <v/>
      </c>
      <c r="E37" t="str" cm="1">
        <f t="array" ref="E37">IF(A37=0,"",INDEX(Master_Sheet!L:L,MATCH(A37,Master_Sheet!A:A,0)))</f>
        <v/>
      </c>
      <c r="F37" t="str" cm="1">
        <f t="array" ref="F37">IF(A37=0," ",INDEX(Master_Sheet!J:J,MATCH(A37,Master_Sheet!A:A,0)))</f>
        <v xml:space="preserve"> </v>
      </c>
      <c r="G37" t="str" cm="1">
        <f t="array" ref="G37">IF(A37=0,"",INDEX(Master_Sheet!G:G,MATCH(A37,Master_Sheet!A:A,0)))</f>
        <v/>
      </c>
    </row>
    <row r="38" spans="1:7">
      <c r="A38">
        <f>IF(ISBLANK(Initial_entry!A37),,Initial_entry!A37)</f>
        <v>0</v>
      </c>
      <c r="B38" t="str">
        <f>IF(ISBLANK(Initial_entry!B37),"",Initial_entry!B37)</f>
        <v/>
      </c>
      <c r="C38" t="str">
        <f>IF(ISBLANK(Initial_entry!C37),"",Initial_entry!C37)</f>
        <v/>
      </c>
      <c r="D38" t="str" cm="1">
        <f t="array" ref="D38">IF(A38=0,"",INDEX(Master_Sheet!K:K,MATCH(A38,Master_Sheet!A:A,0)))</f>
        <v/>
      </c>
      <c r="E38" t="str" cm="1">
        <f t="array" ref="E38">IF(A38=0,"",INDEX(Master_Sheet!L:L,MATCH(A38,Master_Sheet!A:A,0)))</f>
        <v/>
      </c>
      <c r="F38" t="str" cm="1">
        <f t="array" ref="F38">IF(A38=0," ",INDEX(Master_Sheet!J:J,MATCH(A38,Master_Sheet!A:A,0)))</f>
        <v xml:space="preserve"> </v>
      </c>
      <c r="G38" t="str" cm="1">
        <f t="array" ref="G38">IF(A38=0,"",INDEX(Master_Sheet!G:G,MATCH(A38,Master_Sheet!A:A,0)))</f>
        <v/>
      </c>
    </row>
    <row r="39" spans="1:7">
      <c r="A39">
        <f>IF(ISBLANK(Initial_entry!A38),,Initial_entry!A38)</f>
        <v>0</v>
      </c>
      <c r="B39" t="str">
        <f>IF(ISBLANK(Initial_entry!B38),"",Initial_entry!B38)</f>
        <v/>
      </c>
      <c r="C39" t="str">
        <f>IF(ISBLANK(Initial_entry!C38),"",Initial_entry!C38)</f>
        <v/>
      </c>
      <c r="D39" t="str" cm="1">
        <f t="array" ref="D39">IF(A39=0,"",INDEX(Master_Sheet!K:K,MATCH(A39,Master_Sheet!A:A,0)))</f>
        <v/>
      </c>
      <c r="E39" t="str" cm="1">
        <f t="array" ref="E39">IF(A39=0,"",INDEX(Master_Sheet!L:L,MATCH(A39,Master_Sheet!A:A,0)))</f>
        <v/>
      </c>
      <c r="F39" t="str" cm="1">
        <f t="array" ref="F39">IF(A39=0," ",INDEX(Master_Sheet!J:J,MATCH(A39,Master_Sheet!A:A,0)))</f>
        <v xml:space="preserve"> </v>
      </c>
      <c r="G39" t="str" cm="1">
        <f t="array" ref="G39">IF(A39=0,"",INDEX(Master_Sheet!G:G,MATCH(A39,Master_Sheet!A:A,0)))</f>
        <v/>
      </c>
    </row>
    <row r="40" spans="1:7">
      <c r="A40">
        <f>IF(ISBLANK(Initial_entry!A39),,Initial_entry!A39)</f>
        <v>0</v>
      </c>
      <c r="B40" t="str">
        <f>IF(ISBLANK(Initial_entry!B39),"",Initial_entry!B39)</f>
        <v/>
      </c>
      <c r="C40" t="str">
        <f>IF(ISBLANK(Initial_entry!C39),"",Initial_entry!C39)</f>
        <v/>
      </c>
      <c r="D40" t="str" cm="1">
        <f t="array" ref="D40">IF(A40=0,"",INDEX(Master_Sheet!K:K,MATCH(A40,Master_Sheet!A:A,0)))</f>
        <v/>
      </c>
      <c r="E40" t="str" cm="1">
        <f t="array" ref="E40">IF(A40=0,"",INDEX(Master_Sheet!L:L,MATCH(A40,Master_Sheet!A:A,0)))</f>
        <v/>
      </c>
      <c r="F40" t="str" cm="1">
        <f t="array" ref="F40">IF(A40=0," ",INDEX(Master_Sheet!J:J,MATCH(A40,Master_Sheet!A:A,0)))</f>
        <v xml:space="preserve"> </v>
      </c>
      <c r="G40" t="str" cm="1">
        <f t="array" ref="G40">IF(A40=0,"",INDEX(Master_Sheet!G:G,MATCH(A40,Master_Sheet!A:A,0)))</f>
        <v/>
      </c>
    </row>
    <row r="41" spans="1:7">
      <c r="A41">
        <f>IF(ISBLANK(Initial_entry!A40),,Initial_entry!A40)</f>
        <v>0</v>
      </c>
      <c r="B41" t="str">
        <f>IF(ISBLANK(Initial_entry!B40),"",Initial_entry!B40)</f>
        <v/>
      </c>
      <c r="C41" t="str">
        <f>IF(ISBLANK(Initial_entry!C40),"",Initial_entry!C40)</f>
        <v/>
      </c>
      <c r="D41" t="str" cm="1">
        <f t="array" ref="D41">IF(A41=0,"",INDEX(Master_Sheet!K:K,MATCH(A41,Master_Sheet!A:A,0)))</f>
        <v/>
      </c>
      <c r="E41" t="str" cm="1">
        <f t="array" ref="E41">IF(A41=0,"",INDEX(Master_Sheet!L:L,MATCH(A41,Master_Sheet!A:A,0)))</f>
        <v/>
      </c>
      <c r="F41" t="str" cm="1">
        <f t="array" ref="F41">IF(A41=0," ",INDEX(Master_Sheet!J:J,MATCH(A41,Master_Sheet!A:A,0)))</f>
        <v xml:space="preserve"> </v>
      </c>
      <c r="G41" t="str" cm="1">
        <f t="array" ref="G41">IF(A41=0,"",INDEX(Master_Sheet!G:G,MATCH(A41,Master_Sheet!A:A,0)))</f>
        <v/>
      </c>
    </row>
    <row r="42" spans="1:7">
      <c r="A42">
        <f>IF(ISBLANK(Initial_entry!A41),,Initial_entry!A41)</f>
        <v>0</v>
      </c>
      <c r="B42" t="str">
        <f>IF(ISBLANK(Initial_entry!B41),"",Initial_entry!B41)</f>
        <v/>
      </c>
      <c r="C42" t="str">
        <f>IF(ISBLANK(Initial_entry!C41),"",Initial_entry!C41)</f>
        <v/>
      </c>
      <c r="D42" t="str" cm="1">
        <f t="array" ref="D42">IF(A42=0,"",INDEX(Master_Sheet!K:K,MATCH(A42,Master_Sheet!A:A,0)))</f>
        <v/>
      </c>
      <c r="E42" t="str" cm="1">
        <f t="array" ref="E42">IF(A42=0,"",INDEX(Master_Sheet!L:L,MATCH(A42,Master_Sheet!A:A,0)))</f>
        <v/>
      </c>
      <c r="F42" t="str" cm="1">
        <f t="array" ref="F42">IF(A42=0," ",INDEX(Master_Sheet!J:J,MATCH(A42,Master_Sheet!A:A,0)))</f>
        <v xml:space="preserve"> </v>
      </c>
      <c r="G42" t="str" cm="1">
        <f t="array" ref="G42">IF(A42=0,"",INDEX(Master_Sheet!G:G,MATCH(A42,Master_Sheet!A:A,0)))</f>
        <v/>
      </c>
    </row>
    <row r="43" spans="1:7">
      <c r="A43">
        <f>IF(ISBLANK(Initial_entry!A42),,Initial_entry!A42)</f>
        <v>0</v>
      </c>
      <c r="B43" t="str">
        <f>IF(ISBLANK(Initial_entry!B42),"",Initial_entry!B42)</f>
        <v/>
      </c>
      <c r="C43" t="str">
        <f>IF(ISBLANK(Initial_entry!C42),"",Initial_entry!C42)</f>
        <v/>
      </c>
      <c r="D43" t="str" cm="1">
        <f t="array" ref="D43">IF(A43=0,"",INDEX(Master_Sheet!K:K,MATCH(A43,Master_Sheet!A:A,0)))</f>
        <v/>
      </c>
      <c r="E43" t="str" cm="1">
        <f t="array" ref="E43">IF(A43=0,"",INDEX(Master_Sheet!L:L,MATCH(A43,Master_Sheet!A:A,0)))</f>
        <v/>
      </c>
      <c r="F43" t="str" cm="1">
        <f t="array" ref="F43">IF(A43=0," ",INDEX(Master_Sheet!J:J,MATCH(A43,Master_Sheet!A:A,0)))</f>
        <v xml:space="preserve"> </v>
      </c>
      <c r="G43" t="str" cm="1">
        <f t="array" ref="G43">IF(A43=0,"",INDEX(Master_Sheet!G:G,MATCH(A43,Master_Sheet!A:A,0)))</f>
        <v/>
      </c>
    </row>
    <row r="44" spans="1:7">
      <c r="A44">
        <f>IF(ISBLANK(Initial_entry!A43),,Initial_entry!A43)</f>
        <v>0</v>
      </c>
      <c r="B44" t="str">
        <f>IF(ISBLANK(Initial_entry!B43),"",Initial_entry!B43)</f>
        <v/>
      </c>
      <c r="C44" t="str">
        <f>IF(ISBLANK(Initial_entry!C43),"",Initial_entry!C43)</f>
        <v/>
      </c>
      <c r="D44" t="str" cm="1">
        <f t="array" ref="D44">IF(A44=0,"",INDEX(Master_Sheet!K:K,MATCH(A44,Master_Sheet!A:A,0)))</f>
        <v/>
      </c>
      <c r="E44" t="str" cm="1">
        <f t="array" ref="E44">IF(A44=0,"",INDEX(Master_Sheet!L:L,MATCH(A44,Master_Sheet!A:A,0)))</f>
        <v/>
      </c>
      <c r="F44" t="str" cm="1">
        <f t="array" ref="F44">IF(A44=0," ",INDEX(Master_Sheet!J:J,MATCH(A44,Master_Sheet!A:A,0)))</f>
        <v xml:space="preserve"> </v>
      </c>
      <c r="G44" t="str" cm="1">
        <f t="array" ref="G44">IF(A44=0,"",INDEX(Master_Sheet!G:G,MATCH(A44,Master_Sheet!A:A,0)))</f>
        <v/>
      </c>
    </row>
    <row r="45" spans="1:7">
      <c r="A45">
        <f>IF(ISBLANK(Initial_entry!A44),,Initial_entry!A44)</f>
        <v>0</v>
      </c>
      <c r="B45" t="str">
        <f>IF(ISBLANK(Initial_entry!B44),"",Initial_entry!B44)</f>
        <v/>
      </c>
      <c r="C45" t="str">
        <f>IF(ISBLANK(Initial_entry!C44),"",Initial_entry!C44)</f>
        <v/>
      </c>
      <c r="D45" t="str" cm="1">
        <f t="array" ref="D45">IF(A45=0,"",INDEX(Master_Sheet!K:K,MATCH(A45,Master_Sheet!A:A,0)))</f>
        <v/>
      </c>
      <c r="E45" t="str" cm="1">
        <f t="array" ref="E45">IF(A45=0,"",INDEX(Master_Sheet!L:L,MATCH(A45,Master_Sheet!A:A,0)))</f>
        <v/>
      </c>
      <c r="F45" t="str" cm="1">
        <f t="array" ref="F45">IF(A45=0," ",INDEX(Master_Sheet!J:J,MATCH(A45,Master_Sheet!A:A,0)))</f>
        <v xml:space="preserve"> </v>
      </c>
      <c r="G45" t="str" cm="1">
        <f t="array" ref="G45">IF(A45=0,"",INDEX(Master_Sheet!G:G,MATCH(A45,Master_Sheet!A:A,0)))</f>
        <v/>
      </c>
    </row>
    <row r="46" spans="1:7">
      <c r="A46">
        <f>IF(ISBLANK(Initial_entry!A45),,Initial_entry!A45)</f>
        <v>0</v>
      </c>
      <c r="B46" t="str">
        <f>IF(ISBLANK(Initial_entry!B45),"",Initial_entry!B45)</f>
        <v/>
      </c>
      <c r="C46" t="str">
        <f>IF(ISBLANK(Initial_entry!C45),"",Initial_entry!C45)</f>
        <v/>
      </c>
      <c r="D46" t="str" cm="1">
        <f t="array" ref="D46">IF(A46=0,"",INDEX(Master_Sheet!K:K,MATCH(A46,Master_Sheet!A:A,0)))</f>
        <v/>
      </c>
      <c r="E46" t="str" cm="1">
        <f t="array" ref="E46">IF(A46=0,"",INDEX(Master_Sheet!L:L,MATCH(A46,Master_Sheet!A:A,0)))</f>
        <v/>
      </c>
      <c r="F46" t="str" cm="1">
        <f t="array" ref="F46">IF(A46=0," ",INDEX(Master_Sheet!J:J,MATCH(A46,Master_Sheet!A:A,0)))</f>
        <v xml:space="preserve"> </v>
      </c>
      <c r="G46" t="str" cm="1">
        <f t="array" ref="G46">IF(A46=0,"",INDEX(Master_Sheet!G:G,MATCH(A46,Master_Sheet!A:A,0)))</f>
        <v/>
      </c>
    </row>
    <row r="47" spans="1:7">
      <c r="A47">
        <f>IF(ISBLANK(Initial_entry!A46),,Initial_entry!A46)</f>
        <v>0</v>
      </c>
      <c r="B47" t="str">
        <f>IF(ISBLANK(Initial_entry!B46),"",Initial_entry!B46)</f>
        <v/>
      </c>
      <c r="C47" t="str">
        <f>IF(ISBLANK(Initial_entry!C46),"",Initial_entry!C46)</f>
        <v/>
      </c>
      <c r="D47" t="str" cm="1">
        <f t="array" ref="D47">IF(A47=0,"",INDEX(Master_Sheet!K:K,MATCH(A47,Master_Sheet!A:A,0)))</f>
        <v/>
      </c>
      <c r="E47" t="str" cm="1">
        <f t="array" ref="E47">IF(A47=0,"",INDEX(Master_Sheet!L:L,MATCH(A47,Master_Sheet!A:A,0)))</f>
        <v/>
      </c>
      <c r="F47" t="str" cm="1">
        <f t="array" ref="F47">IF(A47=0," ",INDEX(Master_Sheet!J:J,MATCH(A47,Master_Sheet!A:A,0)))</f>
        <v xml:space="preserve"> </v>
      </c>
      <c r="G47" t="str" cm="1">
        <f t="array" ref="G47">IF(A47=0,"",INDEX(Master_Sheet!G:G,MATCH(A47,Master_Sheet!A:A,0)))</f>
        <v/>
      </c>
    </row>
    <row r="48" spans="1:7">
      <c r="A48">
        <f>IF(ISBLANK(Initial_entry!A47),,Initial_entry!A47)</f>
        <v>0</v>
      </c>
      <c r="B48" t="str">
        <f>IF(ISBLANK(Initial_entry!B47),"",Initial_entry!B47)</f>
        <v/>
      </c>
      <c r="C48" t="str">
        <f>IF(ISBLANK(Initial_entry!C47),"",Initial_entry!C47)</f>
        <v/>
      </c>
      <c r="D48" t="str" cm="1">
        <f t="array" ref="D48">IF(A48=0,"",INDEX(Master_Sheet!K:K,MATCH(A48,Master_Sheet!A:A,0)))</f>
        <v/>
      </c>
      <c r="E48" t="str" cm="1">
        <f t="array" ref="E48">IF(A48=0,"",INDEX(Master_Sheet!L:L,MATCH(A48,Master_Sheet!A:A,0)))</f>
        <v/>
      </c>
      <c r="F48" t="str" cm="1">
        <f t="array" ref="F48">IF(A48=0," ",INDEX(Master_Sheet!J:J,MATCH(A48,Master_Sheet!A:A,0)))</f>
        <v xml:space="preserve"> </v>
      </c>
      <c r="G48" t="str" cm="1">
        <f t="array" ref="G48">IF(A48=0,"",INDEX(Master_Sheet!G:G,MATCH(A48,Master_Sheet!A:A,0)))</f>
        <v/>
      </c>
    </row>
    <row r="49" spans="1:7">
      <c r="A49">
        <f>IF(ISBLANK(Initial_entry!A48),,Initial_entry!A48)</f>
        <v>0</v>
      </c>
      <c r="B49" t="str">
        <f>IF(ISBLANK(Initial_entry!B48),"",Initial_entry!B48)</f>
        <v/>
      </c>
      <c r="C49" t="str">
        <f>IF(ISBLANK(Initial_entry!C48),"",Initial_entry!C48)</f>
        <v/>
      </c>
      <c r="D49" t="str" cm="1">
        <f t="array" ref="D49">IF(A49=0,"",INDEX(Master_Sheet!K:K,MATCH(A49,Master_Sheet!A:A,0)))</f>
        <v/>
      </c>
      <c r="E49" t="str" cm="1">
        <f t="array" ref="E49">IF(A49=0,"",INDEX(Master_Sheet!L:L,MATCH(A49,Master_Sheet!A:A,0)))</f>
        <v/>
      </c>
      <c r="F49" t="str" cm="1">
        <f t="array" ref="F49">IF(A49=0," ",INDEX(Master_Sheet!J:J,MATCH(A49,Master_Sheet!A:A,0)))</f>
        <v xml:space="preserve"> </v>
      </c>
      <c r="G49" t="str" cm="1">
        <f t="array" ref="G49">IF(A49=0,"",INDEX(Master_Sheet!G:G,MATCH(A49,Master_Sheet!A:A,0)))</f>
        <v/>
      </c>
    </row>
    <row r="50" spans="1:7">
      <c r="A50">
        <f>IF(ISBLANK(Initial_entry!A49),,Initial_entry!A49)</f>
        <v>0</v>
      </c>
      <c r="B50" t="str">
        <f>IF(ISBLANK(Initial_entry!B49),"",Initial_entry!B49)</f>
        <v/>
      </c>
      <c r="C50" t="str">
        <f>IF(ISBLANK(Initial_entry!C49),"",Initial_entry!C49)</f>
        <v/>
      </c>
      <c r="D50" t="str" cm="1">
        <f t="array" ref="D50">IF(A50=0,"",INDEX(Master_Sheet!K:K,MATCH(A50,Master_Sheet!A:A,0)))</f>
        <v/>
      </c>
      <c r="E50" t="str" cm="1">
        <f t="array" ref="E50">IF(A50=0,"",INDEX(Master_Sheet!L:L,MATCH(A50,Master_Sheet!A:A,0)))</f>
        <v/>
      </c>
      <c r="F50" t="str" cm="1">
        <f t="array" ref="F50">IF(A50=0," ",INDEX(Master_Sheet!J:J,MATCH(A50,Master_Sheet!A:A,0)))</f>
        <v xml:space="preserve"> </v>
      </c>
      <c r="G50" t="str" cm="1">
        <f t="array" ref="G50">IF(A50=0,"",INDEX(Master_Sheet!G:G,MATCH(A50,Master_Sheet!A:A,0)))</f>
        <v/>
      </c>
    </row>
    <row r="51" spans="1:7">
      <c r="A51">
        <f>IF(ISBLANK(Initial_entry!A50),,Initial_entry!A50)</f>
        <v>0</v>
      </c>
      <c r="B51" t="str">
        <f>IF(ISBLANK(Initial_entry!B50),"",Initial_entry!B50)</f>
        <v/>
      </c>
      <c r="C51" t="str">
        <f>IF(ISBLANK(Initial_entry!C50),"",Initial_entry!C50)</f>
        <v/>
      </c>
      <c r="D51" t="str" cm="1">
        <f t="array" ref="D51">IF(A51=0,"",INDEX(Master_Sheet!K:K,MATCH(A51,Master_Sheet!A:A,0)))</f>
        <v/>
      </c>
      <c r="E51" t="str" cm="1">
        <f t="array" ref="E51">IF(A51=0,"",INDEX(Master_Sheet!L:L,MATCH(A51,Master_Sheet!A:A,0)))</f>
        <v/>
      </c>
      <c r="F51" t="str" cm="1">
        <f t="array" ref="F51">IF(A51=0," ",INDEX(Master_Sheet!J:J,MATCH(A51,Master_Sheet!A:A,0)))</f>
        <v xml:space="preserve"> </v>
      </c>
      <c r="G51" t="str" cm="1">
        <f t="array" ref="G51">IF(A51=0,"",INDEX(Master_Sheet!G:G,MATCH(A51,Master_Sheet!A:A,0)))</f>
        <v/>
      </c>
    </row>
    <row r="52" spans="1:7">
      <c r="A52">
        <f>IF(ISBLANK(Initial_entry!A51),,Initial_entry!A51)</f>
        <v>0</v>
      </c>
      <c r="B52" t="str">
        <f>IF(ISBLANK(Initial_entry!B51),"",Initial_entry!B51)</f>
        <v/>
      </c>
      <c r="C52" t="str">
        <f>IF(ISBLANK(Initial_entry!C51),"",Initial_entry!C51)</f>
        <v/>
      </c>
      <c r="D52" t="str" cm="1">
        <f t="array" ref="D52">IF(A52=0,"",INDEX(Master_Sheet!K:K,MATCH(A52,Master_Sheet!A:A,0)))</f>
        <v/>
      </c>
      <c r="E52" t="str" cm="1">
        <f t="array" ref="E52">IF(A52=0,"",INDEX(Master_Sheet!L:L,MATCH(A52,Master_Sheet!A:A,0)))</f>
        <v/>
      </c>
      <c r="F52" t="str" cm="1">
        <f t="array" ref="F52">IF(A52=0," ",INDEX(Master_Sheet!J:J,MATCH(A52,Master_Sheet!A:A,0)))</f>
        <v xml:space="preserve"> </v>
      </c>
      <c r="G52" t="str" cm="1">
        <f t="array" ref="G52">IF(A52=0,"",INDEX(Master_Sheet!G:G,MATCH(A52,Master_Sheet!A:A,0)))</f>
        <v/>
      </c>
    </row>
    <row r="53" spans="1:7">
      <c r="A53">
        <f>IF(ISBLANK(Initial_entry!A52),,Initial_entry!A52)</f>
        <v>0</v>
      </c>
      <c r="B53" t="str">
        <f>IF(ISBLANK(Initial_entry!B52),"",Initial_entry!B52)</f>
        <v/>
      </c>
      <c r="C53" t="str">
        <f>IF(ISBLANK(Initial_entry!C52),"",Initial_entry!C52)</f>
        <v/>
      </c>
      <c r="D53" t="str" cm="1">
        <f t="array" ref="D53">IF(A53=0,"",INDEX(Master_Sheet!K:K,MATCH(A53,Master_Sheet!A:A,0)))</f>
        <v/>
      </c>
      <c r="E53" t="str" cm="1">
        <f t="array" ref="E53">IF(A53=0,"",INDEX(Master_Sheet!L:L,MATCH(A53,Master_Sheet!A:A,0)))</f>
        <v/>
      </c>
      <c r="F53" t="str" cm="1">
        <f t="array" ref="F53">IF(A53=0," ",INDEX(Master_Sheet!J:J,MATCH(A53,Master_Sheet!A:A,0)))</f>
        <v xml:space="preserve"> </v>
      </c>
      <c r="G53" t="str" cm="1">
        <f t="array" ref="G53">IF(A53=0,"",INDEX(Master_Sheet!G:G,MATCH(A53,Master_Sheet!A:A,0)))</f>
        <v/>
      </c>
    </row>
    <row r="54" spans="1:7">
      <c r="A54">
        <f>IF(ISBLANK(Initial_entry!A53),,Initial_entry!A53)</f>
        <v>0</v>
      </c>
      <c r="B54" t="str">
        <f>IF(ISBLANK(Initial_entry!B53),"",Initial_entry!B53)</f>
        <v/>
      </c>
      <c r="C54" t="str">
        <f>IF(ISBLANK(Initial_entry!C53),"",Initial_entry!C53)</f>
        <v/>
      </c>
      <c r="D54" t="str" cm="1">
        <f t="array" ref="D54">IF(A54=0,"",INDEX(Master_Sheet!K:K,MATCH(A54,Master_Sheet!A:A,0)))</f>
        <v/>
      </c>
      <c r="E54" t="str" cm="1">
        <f t="array" ref="E54">IF(A54=0,"",INDEX(Master_Sheet!L:L,MATCH(A54,Master_Sheet!A:A,0)))</f>
        <v/>
      </c>
      <c r="F54" t="str" cm="1">
        <f t="array" ref="F54">IF(A54=0," ",INDEX(Master_Sheet!J:J,MATCH(A54,Master_Sheet!A:A,0)))</f>
        <v xml:space="preserve"> </v>
      </c>
      <c r="G54" t="str" cm="1">
        <f t="array" ref="G54">IF(A54=0,"",INDEX(Master_Sheet!G:G,MATCH(A54,Master_Sheet!A:A,0)))</f>
        <v/>
      </c>
    </row>
    <row r="55" spans="1:7">
      <c r="A55">
        <f>IF(ISBLANK(Initial_entry!A54),,Initial_entry!A54)</f>
        <v>0</v>
      </c>
      <c r="B55" t="str">
        <f>IF(ISBLANK(Initial_entry!B54),"",Initial_entry!B54)</f>
        <v/>
      </c>
      <c r="C55" t="str">
        <f>IF(ISBLANK(Initial_entry!C54),"",Initial_entry!C54)</f>
        <v/>
      </c>
      <c r="D55" t="str" cm="1">
        <f t="array" ref="D55">IF(A55=0,"",INDEX(Master_Sheet!K:K,MATCH(A55,Master_Sheet!A:A,0)))</f>
        <v/>
      </c>
      <c r="E55" t="str" cm="1">
        <f t="array" ref="E55">IF(A55=0,"",INDEX(Master_Sheet!L:L,MATCH(A55,Master_Sheet!A:A,0)))</f>
        <v/>
      </c>
      <c r="F55" t="str" cm="1">
        <f t="array" ref="F55">IF(A55=0," ",INDEX(Master_Sheet!J:J,MATCH(A55,Master_Sheet!A:A,0)))</f>
        <v xml:space="preserve"> </v>
      </c>
      <c r="G55" t="str" cm="1">
        <f t="array" ref="G55">IF(A55=0,"",INDEX(Master_Sheet!G:G,MATCH(A55,Master_Sheet!A:A,0)))</f>
        <v/>
      </c>
    </row>
    <row r="56" spans="1:7">
      <c r="A56">
        <f>IF(ISBLANK(Initial_entry!A55),,Initial_entry!A55)</f>
        <v>0</v>
      </c>
      <c r="B56" t="str">
        <f>IF(ISBLANK(Initial_entry!B55),"",Initial_entry!B55)</f>
        <v/>
      </c>
      <c r="C56" t="str">
        <f>IF(ISBLANK(Initial_entry!C55),"",Initial_entry!C55)</f>
        <v/>
      </c>
      <c r="D56" t="str" cm="1">
        <f t="array" ref="D56">IF(A56=0,"",INDEX(Master_Sheet!K:K,MATCH(A56,Master_Sheet!A:A,0)))</f>
        <v/>
      </c>
      <c r="E56" t="str" cm="1">
        <f t="array" ref="E56">IF(A56=0,"",INDEX(Master_Sheet!L:L,MATCH(A56,Master_Sheet!A:A,0)))</f>
        <v/>
      </c>
      <c r="F56" t="str" cm="1">
        <f t="array" ref="F56">IF(A56=0," ",INDEX(Master_Sheet!J:J,MATCH(A56,Master_Sheet!A:A,0)))</f>
        <v xml:space="preserve"> </v>
      </c>
      <c r="G56" t="str" cm="1">
        <f t="array" ref="G56">IF(A56=0,"",INDEX(Master_Sheet!G:G,MATCH(A56,Master_Sheet!A:A,0)))</f>
        <v/>
      </c>
    </row>
    <row r="57" spans="1:7">
      <c r="A57">
        <f>IF(ISBLANK(Initial_entry!A56),,Initial_entry!A56)</f>
        <v>0</v>
      </c>
      <c r="B57" t="str">
        <f>IF(ISBLANK(Initial_entry!B56),"",Initial_entry!B56)</f>
        <v/>
      </c>
      <c r="C57" t="str">
        <f>IF(ISBLANK(Initial_entry!C56),"",Initial_entry!C56)</f>
        <v/>
      </c>
      <c r="D57" t="str" cm="1">
        <f t="array" ref="D57">IF(A57=0,"",INDEX(Master_Sheet!K:K,MATCH(A57,Master_Sheet!A:A,0)))</f>
        <v/>
      </c>
      <c r="E57" t="str" cm="1">
        <f t="array" ref="E57">IF(A57=0,"",INDEX(Master_Sheet!L:L,MATCH(A57,Master_Sheet!A:A,0)))</f>
        <v/>
      </c>
      <c r="F57" t="str" cm="1">
        <f t="array" ref="F57">IF(A57=0," ",INDEX(Master_Sheet!J:J,MATCH(A57,Master_Sheet!A:A,0)))</f>
        <v xml:space="preserve"> </v>
      </c>
      <c r="G57" t="str" cm="1">
        <f t="array" ref="G57">IF(A57=0,"",INDEX(Master_Sheet!G:G,MATCH(A57,Master_Sheet!A:A,0)))</f>
        <v/>
      </c>
    </row>
    <row r="58" spans="1:7">
      <c r="A58">
        <f>IF(ISBLANK(Initial_entry!A57),,Initial_entry!A57)</f>
        <v>0</v>
      </c>
      <c r="B58" t="str">
        <f>IF(ISBLANK(Initial_entry!B57),"",Initial_entry!B57)</f>
        <v/>
      </c>
      <c r="C58" t="str">
        <f>IF(ISBLANK(Initial_entry!C57),"",Initial_entry!C57)</f>
        <v/>
      </c>
      <c r="D58" t="str" cm="1">
        <f t="array" ref="D58">IF(A58=0,"",INDEX(Master_Sheet!K:K,MATCH(A58,Master_Sheet!A:A,0)))</f>
        <v/>
      </c>
      <c r="E58" t="str" cm="1">
        <f t="array" ref="E58">IF(A58=0,"",INDEX(Master_Sheet!L:L,MATCH(A58,Master_Sheet!A:A,0)))</f>
        <v/>
      </c>
      <c r="F58" t="str" cm="1">
        <f t="array" ref="F58">IF(A58=0," ",INDEX(Master_Sheet!J:J,MATCH(A58,Master_Sheet!A:A,0)))</f>
        <v xml:space="preserve"> </v>
      </c>
      <c r="G58" t="str" cm="1">
        <f t="array" ref="G58">IF(A58=0,"",INDEX(Master_Sheet!G:G,MATCH(A58,Master_Sheet!A:A,0)))</f>
        <v/>
      </c>
    </row>
    <row r="59" spans="1:7">
      <c r="A59">
        <f>IF(ISBLANK(Initial_entry!A58),,Initial_entry!A58)</f>
        <v>0</v>
      </c>
      <c r="B59" t="str">
        <f>IF(ISBLANK(Initial_entry!B58),"",Initial_entry!B58)</f>
        <v/>
      </c>
      <c r="C59" t="str">
        <f>IF(ISBLANK(Initial_entry!C58),"",Initial_entry!C58)</f>
        <v/>
      </c>
      <c r="D59" t="str" cm="1">
        <f t="array" ref="D59">IF(A59=0,"",INDEX(Master_Sheet!K:K,MATCH(A59,Master_Sheet!A:A,0)))</f>
        <v/>
      </c>
      <c r="E59" t="str" cm="1">
        <f t="array" ref="E59">IF(A59=0,"",INDEX(Master_Sheet!L:L,MATCH(A59,Master_Sheet!A:A,0)))</f>
        <v/>
      </c>
      <c r="F59" t="str" cm="1">
        <f t="array" ref="F59">IF(A59=0," ",INDEX(Master_Sheet!J:J,MATCH(A59,Master_Sheet!A:A,0)))</f>
        <v xml:space="preserve"> </v>
      </c>
      <c r="G59" t="str" cm="1">
        <f t="array" ref="G59">IF(A59=0,"",INDEX(Master_Sheet!G:G,MATCH(A59,Master_Sheet!A:A,0)))</f>
        <v/>
      </c>
    </row>
    <row r="60" spans="1:7">
      <c r="A60">
        <f>IF(ISBLANK(Initial_entry!A59),,Initial_entry!A59)</f>
        <v>0</v>
      </c>
      <c r="B60" t="str">
        <f>IF(ISBLANK(Initial_entry!B59),"",Initial_entry!B59)</f>
        <v/>
      </c>
      <c r="C60" t="str">
        <f>IF(ISBLANK(Initial_entry!C59),"",Initial_entry!C59)</f>
        <v/>
      </c>
      <c r="D60" t="str" cm="1">
        <f t="array" ref="D60">IF(A60=0,"",INDEX(Master_Sheet!K:K,MATCH(A60,Master_Sheet!A:A,0)))</f>
        <v/>
      </c>
      <c r="E60" t="str" cm="1">
        <f t="array" ref="E60">IF(A60=0,"",INDEX(Master_Sheet!L:L,MATCH(A60,Master_Sheet!A:A,0)))</f>
        <v/>
      </c>
      <c r="F60" t="str" cm="1">
        <f t="array" ref="F60">IF(A60=0," ",INDEX(Master_Sheet!J:J,MATCH(A60,Master_Sheet!A:A,0)))</f>
        <v xml:space="preserve"> </v>
      </c>
      <c r="G60" t="str" cm="1">
        <f t="array" ref="G60">IF(A60=0,"",INDEX(Master_Sheet!G:G,MATCH(A60,Master_Sheet!A:A,0)))</f>
        <v/>
      </c>
    </row>
    <row r="61" spans="1:7">
      <c r="A61">
        <f>IF(ISBLANK(Initial_entry!A60),,Initial_entry!A60)</f>
        <v>0</v>
      </c>
      <c r="B61" t="str">
        <f>IF(ISBLANK(Initial_entry!B60),"",Initial_entry!B60)</f>
        <v/>
      </c>
      <c r="C61" t="str">
        <f>IF(ISBLANK(Initial_entry!C60),"",Initial_entry!C60)</f>
        <v/>
      </c>
      <c r="D61" t="str" cm="1">
        <f t="array" ref="D61">IF(A61=0,"",INDEX(Master_Sheet!K:K,MATCH(A61,Master_Sheet!A:A,0)))</f>
        <v/>
      </c>
      <c r="E61" t="str" cm="1">
        <f t="array" ref="E61">IF(A61=0,"",INDEX(Master_Sheet!L:L,MATCH(A61,Master_Sheet!A:A,0)))</f>
        <v/>
      </c>
      <c r="F61" t="str" cm="1">
        <f t="array" ref="F61">IF(A61=0," ",INDEX(Master_Sheet!J:J,MATCH(A61,Master_Sheet!A:A,0)))</f>
        <v xml:space="preserve"> </v>
      </c>
      <c r="G61" t="str" cm="1">
        <f t="array" ref="G61">IF(A61=0,"",INDEX(Master_Sheet!G:G,MATCH(A61,Master_Sheet!A:A,0)))</f>
        <v/>
      </c>
    </row>
    <row r="62" spans="1:7">
      <c r="A62">
        <f>IF(ISBLANK(Initial_entry!A61),,Initial_entry!A61)</f>
        <v>0</v>
      </c>
      <c r="B62" t="str">
        <f>IF(ISBLANK(Initial_entry!B61),"",Initial_entry!B61)</f>
        <v/>
      </c>
      <c r="C62" t="str">
        <f>IF(ISBLANK(Initial_entry!C61),"",Initial_entry!C61)</f>
        <v/>
      </c>
      <c r="D62" t="str" cm="1">
        <f t="array" ref="D62">IF(A62=0,"",INDEX(Master_Sheet!K:K,MATCH(A62,Master_Sheet!A:A,0)))</f>
        <v/>
      </c>
      <c r="E62" t="str" cm="1">
        <f t="array" ref="E62">IF(A62=0,"",INDEX(Master_Sheet!L:L,MATCH(A62,Master_Sheet!A:A,0)))</f>
        <v/>
      </c>
      <c r="F62" t="str" cm="1">
        <f t="array" ref="F62">IF(A62=0," ",INDEX(Master_Sheet!J:J,MATCH(A62,Master_Sheet!A:A,0)))</f>
        <v xml:space="preserve"> </v>
      </c>
      <c r="G62" t="str" cm="1">
        <f t="array" ref="G62">IF(A62=0,"",INDEX(Master_Sheet!G:G,MATCH(A62,Master_Sheet!A:A,0)))</f>
        <v/>
      </c>
    </row>
    <row r="63" spans="1:7">
      <c r="A63">
        <f>IF(ISBLANK(Initial_entry!A62),,Initial_entry!A62)</f>
        <v>0</v>
      </c>
      <c r="B63" t="str">
        <f>IF(ISBLANK(Initial_entry!B62),"",Initial_entry!B62)</f>
        <v/>
      </c>
      <c r="C63" t="str">
        <f>IF(ISBLANK(Initial_entry!C62),"",Initial_entry!C62)</f>
        <v/>
      </c>
      <c r="D63" t="str" cm="1">
        <f t="array" ref="D63">IF(A63=0,"",INDEX(Master_Sheet!K:K,MATCH(A63,Master_Sheet!A:A,0)))</f>
        <v/>
      </c>
      <c r="E63" t="str" cm="1">
        <f t="array" ref="E63">IF(A63=0,"",INDEX(Master_Sheet!L:L,MATCH(A63,Master_Sheet!A:A,0)))</f>
        <v/>
      </c>
      <c r="F63" t="str" cm="1">
        <f t="array" ref="F63">IF(A63=0," ",INDEX(Master_Sheet!J:J,MATCH(A63,Master_Sheet!A:A,0)))</f>
        <v xml:space="preserve"> </v>
      </c>
      <c r="G63" t="str" cm="1">
        <f t="array" ref="G63">IF(A63=0,"",INDEX(Master_Sheet!G:G,MATCH(A63,Master_Sheet!A:A,0)))</f>
        <v/>
      </c>
    </row>
    <row r="64" spans="1:7">
      <c r="A64">
        <f>IF(ISBLANK(Initial_entry!A63),,Initial_entry!A63)</f>
        <v>0</v>
      </c>
      <c r="B64" t="str">
        <f>IF(ISBLANK(Initial_entry!B63),"",Initial_entry!B63)</f>
        <v/>
      </c>
      <c r="C64" t="str">
        <f>IF(ISBLANK(Initial_entry!C63),"",Initial_entry!C63)</f>
        <v/>
      </c>
      <c r="D64" t="str" cm="1">
        <f t="array" ref="D64">IF(A64=0,"",INDEX(Master_Sheet!K:K,MATCH(A64,Master_Sheet!A:A,0)))</f>
        <v/>
      </c>
      <c r="E64" t="str" cm="1">
        <f t="array" ref="E64">IF(A64=0,"",INDEX(Master_Sheet!L:L,MATCH(A64,Master_Sheet!A:A,0)))</f>
        <v/>
      </c>
      <c r="F64" t="str" cm="1">
        <f t="array" ref="F64">IF(A64=0," ",INDEX(Master_Sheet!J:J,MATCH(A64,Master_Sheet!A:A,0)))</f>
        <v xml:space="preserve"> </v>
      </c>
      <c r="G64" t="str" cm="1">
        <f t="array" ref="G64">IF(A64=0,"",INDEX(Master_Sheet!G:G,MATCH(A64,Master_Sheet!A:A,0)))</f>
        <v/>
      </c>
    </row>
    <row r="65" spans="1:7">
      <c r="A65">
        <f>IF(ISBLANK(Initial_entry!A64),,Initial_entry!A64)</f>
        <v>0</v>
      </c>
      <c r="B65" t="str">
        <f>IF(ISBLANK(Initial_entry!B64),"",Initial_entry!B64)</f>
        <v/>
      </c>
      <c r="C65" t="str">
        <f>IF(ISBLANK(Initial_entry!C64),"",Initial_entry!C64)</f>
        <v/>
      </c>
      <c r="D65" t="str" cm="1">
        <f t="array" ref="D65">IF(A65=0,"",INDEX(Master_Sheet!K:K,MATCH(A65,Master_Sheet!A:A,0)))</f>
        <v/>
      </c>
      <c r="E65" t="str" cm="1">
        <f t="array" ref="E65">IF(A65=0,"",INDEX(Master_Sheet!L:L,MATCH(A65,Master_Sheet!A:A,0)))</f>
        <v/>
      </c>
      <c r="F65" t="str" cm="1">
        <f t="array" ref="F65">IF(A65=0," ",INDEX(Master_Sheet!J:J,MATCH(A65,Master_Sheet!A:A,0)))</f>
        <v xml:space="preserve"> </v>
      </c>
      <c r="G65" t="str" cm="1">
        <f t="array" ref="G65">IF(A65=0,"",INDEX(Master_Sheet!G:G,MATCH(A65,Master_Sheet!A:A,0)))</f>
        <v/>
      </c>
    </row>
    <row r="66" spans="1:7">
      <c r="A66">
        <f>IF(ISBLANK(Initial_entry!A65),,Initial_entry!A65)</f>
        <v>0</v>
      </c>
      <c r="B66" t="str">
        <f>IF(ISBLANK(Initial_entry!B65),"",Initial_entry!B65)</f>
        <v/>
      </c>
      <c r="C66" t="str">
        <f>IF(ISBLANK(Initial_entry!C65),"",Initial_entry!C65)</f>
        <v/>
      </c>
      <c r="D66" t="str" cm="1">
        <f t="array" ref="D66">IF(A66=0,"",INDEX(Master_Sheet!K:K,MATCH(A66,Master_Sheet!A:A,0)))</f>
        <v/>
      </c>
      <c r="E66" t="str" cm="1">
        <f t="array" ref="E66">IF(A66=0,"",INDEX(Master_Sheet!L:L,MATCH(A66,Master_Sheet!A:A,0)))</f>
        <v/>
      </c>
      <c r="F66" t="str" cm="1">
        <f t="array" ref="F66">IF(A66=0," ",INDEX(Master_Sheet!J:J,MATCH(A66,Master_Sheet!A:A,0)))</f>
        <v xml:space="preserve"> </v>
      </c>
      <c r="G66" t="str" cm="1">
        <f t="array" ref="G66">IF(A66=0,"",INDEX(Master_Sheet!G:G,MATCH(A66,Master_Sheet!A:A,0)))</f>
        <v/>
      </c>
    </row>
    <row r="67" spans="1:7">
      <c r="A67">
        <f>IF(ISBLANK(Initial_entry!A66),,Initial_entry!A66)</f>
        <v>0</v>
      </c>
      <c r="B67" t="str">
        <f>IF(ISBLANK(Initial_entry!B66),"",Initial_entry!B66)</f>
        <v/>
      </c>
      <c r="C67" t="str">
        <f>IF(ISBLANK(Initial_entry!C66),"",Initial_entry!C66)</f>
        <v/>
      </c>
      <c r="D67" t="str" cm="1">
        <f t="array" ref="D67">IF(A67=0,"",INDEX(Master_Sheet!K:K,MATCH(A67,Master_Sheet!A:A,0)))</f>
        <v/>
      </c>
      <c r="E67" t="str" cm="1">
        <f t="array" ref="E67">IF(A67=0,"",INDEX(Master_Sheet!L:L,MATCH(A67,Master_Sheet!A:A,0)))</f>
        <v/>
      </c>
      <c r="F67" t="str" cm="1">
        <f t="array" ref="F67">IF(A67=0," ",INDEX(Master_Sheet!J:J,MATCH(A67,Master_Sheet!A:A,0)))</f>
        <v xml:space="preserve"> </v>
      </c>
      <c r="G67" t="str" cm="1">
        <f t="array" ref="G67">IF(A67=0,"",INDEX(Master_Sheet!G:G,MATCH(A67,Master_Sheet!A:A,0)))</f>
        <v/>
      </c>
    </row>
    <row r="68" spans="1:7">
      <c r="A68">
        <f>IF(ISBLANK(Initial_entry!A67),,Initial_entry!A67)</f>
        <v>0</v>
      </c>
      <c r="B68" t="str">
        <f>IF(ISBLANK(Initial_entry!B67),"",Initial_entry!B67)</f>
        <v/>
      </c>
      <c r="C68" t="str">
        <f>IF(ISBLANK(Initial_entry!C67),"",Initial_entry!C67)</f>
        <v/>
      </c>
      <c r="D68" t="str" cm="1">
        <f t="array" ref="D68">IF(A68=0,"",INDEX(Master_Sheet!K:K,MATCH(A68,Master_Sheet!A:A,0)))</f>
        <v/>
      </c>
      <c r="E68" t="str" cm="1">
        <f t="array" ref="E68">IF(A68=0,"",INDEX(Master_Sheet!L:L,MATCH(A68,Master_Sheet!A:A,0)))</f>
        <v/>
      </c>
      <c r="F68" t="str" cm="1">
        <f t="array" ref="F68">IF(A68=0," ",INDEX(Master_Sheet!J:J,MATCH(A68,Master_Sheet!A:A,0)))</f>
        <v xml:space="preserve"> </v>
      </c>
      <c r="G68" t="str" cm="1">
        <f t="array" ref="G68">IF(A68=0,"",INDEX(Master_Sheet!G:G,MATCH(A68,Master_Sheet!A:A,0)))</f>
        <v/>
      </c>
    </row>
    <row r="69" spans="1:7">
      <c r="A69">
        <f>IF(ISBLANK(Initial_entry!A68),,Initial_entry!A68)</f>
        <v>0</v>
      </c>
      <c r="B69" t="str">
        <f>IF(ISBLANK(Initial_entry!B68),"",Initial_entry!B68)</f>
        <v/>
      </c>
      <c r="C69" t="str">
        <f>IF(ISBLANK(Initial_entry!C68),"",Initial_entry!C68)</f>
        <v/>
      </c>
      <c r="D69" t="str" cm="1">
        <f t="array" ref="D69">IF(A69=0,"",INDEX(Master_Sheet!K:K,MATCH(A69,Master_Sheet!A:A,0)))</f>
        <v/>
      </c>
      <c r="E69" t="str" cm="1">
        <f t="array" ref="E69">IF(A69=0,"",INDEX(Master_Sheet!L:L,MATCH(A69,Master_Sheet!A:A,0)))</f>
        <v/>
      </c>
      <c r="F69" t="str" cm="1">
        <f t="array" ref="F69">IF(A69=0," ",INDEX(Master_Sheet!J:J,MATCH(A69,Master_Sheet!A:A,0)))</f>
        <v xml:space="preserve"> </v>
      </c>
      <c r="G69" t="str" cm="1">
        <f t="array" ref="G69">IF(A69=0,"",INDEX(Master_Sheet!G:G,MATCH(A69,Master_Sheet!A:A,0)))</f>
        <v/>
      </c>
    </row>
    <row r="70" spans="1:7">
      <c r="A70">
        <f>IF(ISBLANK(Initial_entry!A69),,Initial_entry!A69)</f>
        <v>0</v>
      </c>
      <c r="B70" t="str">
        <f>IF(ISBLANK(Initial_entry!B69),"",Initial_entry!B69)</f>
        <v/>
      </c>
      <c r="C70" t="str">
        <f>IF(ISBLANK(Initial_entry!C69),"",Initial_entry!C69)</f>
        <v/>
      </c>
      <c r="D70" t="str" cm="1">
        <f t="array" ref="D70">IF(A70=0,"",INDEX(Master_Sheet!K:K,MATCH(A70,Master_Sheet!A:A,0)))</f>
        <v/>
      </c>
      <c r="E70" t="str" cm="1">
        <f t="array" ref="E70">IF(A70=0,"",INDEX(Master_Sheet!L:L,MATCH(A70,Master_Sheet!A:A,0)))</f>
        <v/>
      </c>
      <c r="F70" t="str" cm="1">
        <f t="array" ref="F70">IF(A70=0," ",INDEX(Master_Sheet!J:J,MATCH(A70,Master_Sheet!A:A,0)))</f>
        <v xml:space="preserve"> </v>
      </c>
      <c r="G70" t="str" cm="1">
        <f t="array" ref="G70">IF(A70=0,"",INDEX(Master_Sheet!G:G,MATCH(A70,Master_Sheet!A:A,0)))</f>
        <v/>
      </c>
    </row>
    <row r="71" spans="1:7">
      <c r="A71">
        <f>IF(ISBLANK(Initial_entry!A70),,Initial_entry!A70)</f>
        <v>0</v>
      </c>
      <c r="B71" t="str">
        <f>IF(ISBLANK(Initial_entry!B70),"",Initial_entry!B70)</f>
        <v/>
      </c>
      <c r="C71" t="str">
        <f>IF(ISBLANK(Initial_entry!C70),"",Initial_entry!C70)</f>
        <v/>
      </c>
      <c r="D71" t="str" cm="1">
        <f t="array" ref="D71">IF(A71=0,"",INDEX(Master_Sheet!K:K,MATCH(A71,Master_Sheet!A:A,0)))</f>
        <v/>
      </c>
      <c r="E71" t="str" cm="1">
        <f t="array" ref="E71">IF(A71=0,"",INDEX(Master_Sheet!L:L,MATCH(A71,Master_Sheet!A:A,0)))</f>
        <v/>
      </c>
      <c r="F71" t="str" cm="1">
        <f t="array" ref="F71">IF(A71=0," ",INDEX(Master_Sheet!J:J,MATCH(A71,Master_Sheet!A:A,0)))</f>
        <v xml:space="preserve"> </v>
      </c>
      <c r="G71" t="str" cm="1">
        <f t="array" ref="G71">IF(A71=0,"",INDEX(Master_Sheet!G:G,MATCH(A71,Master_Sheet!A:A,0)))</f>
        <v/>
      </c>
    </row>
    <row r="72" spans="1:7">
      <c r="A72">
        <f>IF(ISBLANK(Initial_entry!A71),,Initial_entry!A71)</f>
        <v>0</v>
      </c>
      <c r="B72" t="str">
        <f>IF(ISBLANK(Initial_entry!B71),"",Initial_entry!B71)</f>
        <v/>
      </c>
      <c r="C72" t="str">
        <f>IF(ISBLANK(Initial_entry!C71),"",Initial_entry!C71)</f>
        <v/>
      </c>
      <c r="D72" t="str" cm="1">
        <f t="array" ref="D72">IF(A72=0,"",INDEX(Master_Sheet!K:K,MATCH(A72,Master_Sheet!A:A,0)))</f>
        <v/>
      </c>
      <c r="E72" t="str" cm="1">
        <f t="array" ref="E72">IF(A72=0,"",INDEX(Master_Sheet!L:L,MATCH(A72,Master_Sheet!A:A,0)))</f>
        <v/>
      </c>
      <c r="F72" t="str" cm="1">
        <f t="array" ref="F72">IF(A72=0," ",INDEX(Master_Sheet!J:J,MATCH(A72,Master_Sheet!A:A,0)))</f>
        <v xml:space="preserve"> </v>
      </c>
      <c r="G72" t="str" cm="1">
        <f t="array" ref="G72">IF(A72=0,"",INDEX(Master_Sheet!G:G,MATCH(A72,Master_Sheet!A:A,0)))</f>
        <v/>
      </c>
    </row>
    <row r="73" spans="1:7">
      <c r="A73">
        <f>IF(ISBLANK(Initial_entry!A72),,Initial_entry!A72)</f>
        <v>0</v>
      </c>
      <c r="B73" t="str">
        <f>IF(ISBLANK(Initial_entry!B72),"",Initial_entry!B72)</f>
        <v/>
      </c>
      <c r="C73" t="str">
        <f>IF(ISBLANK(Initial_entry!C72),"",Initial_entry!C72)</f>
        <v/>
      </c>
      <c r="D73" t="str" cm="1">
        <f t="array" ref="D73">IF(A73=0,"",INDEX(Master_Sheet!K:K,MATCH(A73,Master_Sheet!A:A,0)))</f>
        <v/>
      </c>
      <c r="E73" t="str" cm="1">
        <f t="array" ref="E73">IF(A73=0,"",INDEX(Master_Sheet!L:L,MATCH(A73,Master_Sheet!A:A,0)))</f>
        <v/>
      </c>
      <c r="F73" t="str" cm="1">
        <f t="array" ref="F73">IF(A73=0," ",INDEX(Master_Sheet!J:J,MATCH(A73,Master_Sheet!A:A,0)))</f>
        <v xml:space="preserve"> </v>
      </c>
      <c r="G73" t="str" cm="1">
        <f t="array" ref="G73">IF(A73=0,"",INDEX(Master_Sheet!G:G,MATCH(A73,Master_Sheet!A:A,0)))</f>
        <v/>
      </c>
    </row>
    <row r="74" spans="1:7">
      <c r="A74">
        <f>IF(ISBLANK(Initial_entry!A73),,Initial_entry!A73)</f>
        <v>0</v>
      </c>
      <c r="B74" t="str">
        <f>IF(ISBLANK(Initial_entry!B73),"",Initial_entry!B73)</f>
        <v/>
      </c>
      <c r="C74" t="str">
        <f>IF(ISBLANK(Initial_entry!C73),"",Initial_entry!C73)</f>
        <v/>
      </c>
      <c r="D74" t="str" cm="1">
        <f t="array" ref="D74">IF(A74=0,"",INDEX(Master_Sheet!K:K,MATCH(A74,Master_Sheet!A:A,0)))</f>
        <v/>
      </c>
      <c r="E74" t="str" cm="1">
        <f t="array" ref="E74">IF(A74=0,"",INDEX(Master_Sheet!L:L,MATCH(A74,Master_Sheet!A:A,0)))</f>
        <v/>
      </c>
      <c r="F74" t="str" cm="1">
        <f t="array" ref="F74">IF(A74=0," ",INDEX(Master_Sheet!J:J,MATCH(A74,Master_Sheet!A:A,0)))</f>
        <v xml:space="preserve"> </v>
      </c>
      <c r="G74" t="str" cm="1">
        <f t="array" ref="G74">IF(A74=0,"",INDEX(Master_Sheet!G:G,MATCH(A74,Master_Sheet!A:A,0)))</f>
        <v/>
      </c>
    </row>
    <row r="75" spans="1:7">
      <c r="A75">
        <f>IF(ISBLANK(Initial_entry!A74),,Initial_entry!A74)</f>
        <v>0</v>
      </c>
      <c r="B75" t="str">
        <f>IF(ISBLANK(Initial_entry!B74),"",Initial_entry!B74)</f>
        <v/>
      </c>
      <c r="C75" t="str">
        <f>IF(ISBLANK(Initial_entry!C74),"",Initial_entry!C74)</f>
        <v/>
      </c>
      <c r="D75" t="str" cm="1">
        <f t="array" ref="D75">IF(A75=0,"",INDEX(Master_Sheet!K:K,MATCH(A75,Master_Sheet!A:A,0)))</f>
        <v/>
      </c>
      <c r="E75" t="str" cm="1">
        <f t="array" ref="E75">IF(A75=0,"",INDEX(Master_Sheet!L:L,MATCH(A75,Master_Sheet!A:A,0)))</f>
        <v/>
      </c>
      <c r="F75" t="str" cm="1">
        <f t="array" ref="F75">IF(A75=0," ",INDEX(Master_Sheet!J:J,MATCH(A75,Master_Sheet!A:A,0)))</f>
        <v xml:space="preserve"> </v>
      </c>
      <c r="G75" t="str" cm="1">
        <f t="array" ref="G75">IF(A75=0,"",INDEX(Master_Sheet!G:G,MATCH(A75,Master_Sheet!A:A,0)))</f>
        <v/>
      </c>
    </row>
    <row r="76" spans="1:7">
      <c r="A76">
        <f>IF(ISBLANK(Initial_entry!A75),,Initial_entry!A75)</f>
        <v>0</v>
      </c>
      <c r="B76" t="str">
        <f>IF(ISBLANK(Initial_entry!B75),"",Initial_entry!B75)</f>
        <v/>
      </c>
      <c r="C76" t="str">
        <f>IF(ISBLANK(Initial_entry!C75),"",Initial_entry!C75)</f>
        <v/>
      </c>
      <c r="D76" t="str" cm="1">
        <f t="array" ref="D76">IF(A76=0,"",INDEX(Master_Sheet!K:K,MATCH(A76,Master_Sheet!A:A,0)))</f>
        <v/>
      </c>
      <c r="E76" t="str" cm="1">
        <f t="array" ref="E76">IF(A76=0,"",INDEX(Master_Sheet!L:L,MATCH(A76,Master_Sheet!A:A,0)))</f>
        <v/>
      </c>
      <c r="F76" t="str" cm="1">
        <f t="array" ref="F76">IF(A76=0," ",INDEX(Master_Sheet!J:J,MATCH(A76,Master_Sheet!A:A,0)))</f>
        <v xml:space="preserve"> </v>
      </c>
      <c r="G76" t="str" cm="1">
        <f t="array" ref="G76">IF(A76=0,"",INDEX(Master_Sheet!G:G,MATCH(A76,Master_Sheet!A:A,0)))</f>
        <v/>
      </c>
    </row>
    <row r="77" spans="1:7">
      <c r="A77">
        <f>IF(ISBLANK(Initial_entry!A76),,Initial_entry!A76)</f>
        <v>0</v>
      </c>
      <c r="B77" t="str">
        <f>IF(ISBLANK(Initial_entry!B76),"",Initial_entry!B76)</f>
        <v/>
      </c>
      <c r="C77" t="str">
        <f>IF(ISBLANK(Initial_entry!C76),"",Initial_entry!C76)</f>
        <v/>
      </c>
      <c r="D77" t="str" cm="1">
        <f t="array" ref="D77">IF(A77=0,"",INDEX(Master_Sheet!K:K,MATCH(A77,Master_Sheet!A:A,0)))</f>
        <v/>
      </c>
      <c r="E77" t="str" cm="1">
        <f t="array" ref="E77">IF(A77=0,"",INDEX(Master_Sheet!L:L,MATCH(A77,Master_Sheet!A:A,0)))</f>
        <v/>
      </c>
      <c r="F77" t="str" cm="1">
        <f t="array" ref="F77">IF(A77=0," ",INDEX(Master_Sheet!J:J,MATCH(A77,Master_Sheet!A:A,0)))</f>
        <v xml:space="preserve"> </v>
      </c>
      <c r="G77" t="str" cm="1">
        <f t="array" ref="G77">IF(A77=0,"",INDEX(Master_Sheet!G:G,MATCH(A77,Master_Sheet!A:A,0)))</f>
        <v/>
      </c>
    </row>
    <row r="78" spans="1:7">
      <c r="A78">
        <f>IF(ISBLANK(Initial_entry!A77),,Initial_entry!A77)</f>
        <v>0</v>
      </c>
      <c r="B78" t="str">
        <f>IF(ISBLANK(Initial_entry!B77),"",Initial_entry!B77)</f>
        <v/>
      </c>
      <c r="C78" t="str">
        <f>IF(ISBLANK(Initial_entry!C77),"",Initial_entry!C77)</f>
        <v/>
      </c>
      <c r="D78" t="str" cm="1">
        <f t="array" ref="D78">IF(A78=0,"",INDEX(Master_Sheet!K:K,MATCH(A78,Master_Sheet!A:A,0)))</f>
        <v/>
      </c>
      <c r="E78" t="str" cm="1">
        <f t="array" ref="E78">IF(A78=0,"",INDEX(Master_Sheet!L:L,MATCH(A78,Master_Sheet!A:A,0)))</f>
        <v/>
      </c>
      <c r="F78" t="str" cm="1">
        <f t="array" ref="F78">IF(A78=0," ",INDEX(Master_Sheet!J:J,MATCH(A78,Master_Sheet!A:A,0)))</f>
        <v xml:space="preserve"> </v>
      </c>
      <c r="G78" t="str" cm="1">
        <f t="array" ref="G78">IF(A78=0,"",INDEX(Master_Sheet!G:G,MATCH(A78,Master_Sheet!A:A,0)))</f>
        <v/>
      </c>
    </row>
    <row r="79" spans="1:7">
      <c r="A79">
        <f>IF(ISBLANK(Initial_entry!A78),,Initial_entry!A78)</f>
        <v>0</v>
      </c>
      <c r="B79" t="str">
        <f>IF(ISBLANK(Initial_entry!B78),"",Initial_entry!B78)</f>
        <v/>
      </c>
      <c r="C79" t="str">
        <f>IF(ISBLANK(Initial_entry!C78),"",Initial_entry!C78)</f>
        <v/>
      </c>
      <c r="D79" t="str" cm="1">
        <f t="array" ref="D79">IF(A79=0,"",INDEX(Master_Sheet!K:K,MATCH(A79,Master_Sheet!A:A,0)))</f>
        <v/>
      </c>
      <c r="E79" t="str" cm="1">
        <f t="array" ref="E79">IF(A79=0,"",INDEX(Master_Sheet!L:L,MATCH(A79,Master_Sheet!A:A,0)))</f>
        <v/>
      </c>
      <c r="F79" t="str" cm="1">
        <f t="array" ref="F79">IF(A79=0," ",INDEX(Master_Sheet!J:J,MATCH(A79,Master_Sheet!A:A,0)))</f>
        <v xml:space="preserve"> </v>
      </c>
      <c r="G79" t="str" cm="1">
        <f t="array" ref="G79">IF(A79=0,"",INDEX(Master_Sheet!G:G,MATCH(A79,Master_Sheet!A:A,0)))</f>
        <v/>
      </c>
    </row>
    <row r="80" spans="1:7">
      <c r="A80">
        <f>IF(ISBLANK(Initial_entry!A79),,Initial_entry!A79)</f>
        <v>0</v>
      </c>
      <c r="B80" t="str">
        <f>IF(ISBLANK(Initial_entry!B79),"",Initial_entry!B79)</f>
        <v/>
      </c>
      <c r="C80" t="str">
        <f>IF(ISBLANK(Initial_entry!C79),"",Initial_entry!C79)</f>
        <v/>
      </c>
      <c r="D80" t="str" cm="1">
        <f t="array" ref="D80">IF(A80=0,"",INDEX(Master_Sheet!K:K,MATCH(A80,Master_Sheet!A:A,0)))</f>
        <v/>
      </c>
      <c r="E80" t="str" cm="1">
        <f t="array" ref="E80">IF(A80=0,"",INDEX(Master_Sheet!L:L,MATCH(A80,Master_Sheet!A:A,0)))</f>
        <v/>
      </c>
      <c r="F80" t="str" cm="1">
        <f t="array" ref="F80">IF(A80=0," ",INDEX(Master_Sheet!J:J,MATCH(A80,Master_Sheet!A:A,0)))</f>
        <v xml:space="preserve"> </v>
      </c>
      <c r="G80" t="str" cm="1">
        <f t="array" ref="G80">IF(A80=0,"",INDEX(Master_Sheet!G:G,MATCH(A80,Master_Sheet!A:A,0)))</f>
        <v/>
      </c>
    </row>
    <row r="81" spans="1:7">
      <c r="A81">
        <f>IF(ISBLANK(Initial_entry!A80),,Initial_entry!A80)</f>
        <v>0</v>
      </c>
      <c r="B81" t="str">
        <f>IF(ISBLANK(Initial_entry!B80),"",Initial_entry!B80)</f>
        <v/>
      </c>
      <c r="C81" t="str">
        <f>IF(ISBLANK(Initial_entry!C80),"",Initial_entry!C80)</f>
        <v/>
      </c>
      <c r="D81" t="str" cm="1">
        <f t="array" ref="D81">IF(A81=0,"",INDEX(Master_Sheet!K:K,MATCH(A81,Master_Sheet!A:A,0)))</f>
        <v/>
      </c>
      <c r="E81" t="str" cm="1">
        <f t="array" ref="E81">IF(A81=0,"",INDEX(Master_Sheet!L:L,MATCH(A81,Master_Sheet!A:A,0)))</f>
        <v/>
      </c>
      <c r="F81" t="str" cm="1">
        <f t="array" ref="F81">IF(A81=0," ",INDEX(Master_Sheet!J:J,MATCH(A81,Master_Sheet!A:A,0)))</f>
        <v xml:space="preserve"> </v>
      </c>
      <c r="G81" t="str" cm="1">
        <f t="array" ref="G81">IF(A81=0,"",INDEX(Master_Sheet!G:G,MATCH(A81,Master_Sheet!A:A,0)))</f>
        <v/>
      </c>
    </row>
    <row r="82" spans="1:7">
      <c r="A82">
        <f>IF(ISBLANK(Initial_entry!A81),,Initial_entry!A81)</f>
        <v>0</v>
      </c>
      <c r="B82" t="str">
        <f>IF(ISBLANK(Initial_entry!B81),"",Initial_entry!B81)</f>
        <v/>
      </c>
      <c r="C82" t="str">
        <f>IF(ISBLANK(Initial_entry!C81),"",Initial_entry!C81)</f>
        <v/>
      </c>
      <c r="D82" t="str" cm="1">
        <f t="array" ref="D82">IF(A82=0,"",INDEX(Master_Sheet!K:K,MATCH(A82,Master_Sheet!A:A,0)))</f>
        <v/>
      </c>
      <c r="E82" t="str" cm="1">
        <f t="array" ref="E82">IF(A82=0,"",INDEX(Master_Sheet!L:L,MATCH(A82,Master_Sheet!A:A,0)))</f>
        <v/>
      </c>
      <c r="F82" t="str" cm="1">
        <f t="array" ref="F82">IF(A82=0," ",INDEX(Master_Sheet!J:J,MATCH(A82,Master_Sheet!A:A,0)))</f>
        <v xml:space="preserve"> </v>
      </c>
      <c r="G82" t="str" cm="1">
        <f t="array" ref="G82">IF(A82=0,"",INDEX(Master_Sheet!G:G,MATCH(A82,Master_Sheet!A:A,0)))</f>
        <v/>
      </c>
    </row>
    <row r="83" spans="1:7">
      <c r="A83">
        <f>IF(ISBLANK(Initial_entry!A82),,Initial_entry!A82)</f>
        <v>0</v>
      </c>
      <c r="B83" t="str">
        <f>IF(ISBLANK(Initial_entry!B82),"",Initial_entry!B82)</f>
        <v/>
      </c>
      <c r="C83" t="str">
        <f>IF(ISBLANK(Initial_entry!C82),"",Initial_entry!C82)</f>
        <v/>
      </c>
      <c r="D83" t="str" cm="1">
        <f t="array" ref="D83">IF(A83=0,"",INDEX(Master_Sheet!K:K,MATCH(A83,Master_Sheet!A:A,0)))</f>
        <v/>
      </c>
      <c r="E83" t="str" cm="1">
        <f t="array" ref="E83">IF(A83=0,"",INDEX(Master_Sheet!L:L,MATCH(A83,Master_Sheet!A:A,0)))</f>
        <v/>
      </c>
      <c r="F83" t="str" cm="1">
        <f t="array" ref="F83">IF(A83=0," ",INDEX(Master_Sheet!J:J,MATCH(A83,Master_Sheet!A:A,0)))</f>
        <v xml:space="preserve"> </v>
      </c>
      <c r="G83" t="str" cm="1">
        <f t="array" ref="G83">IF(A83=0,"",INDEX(Master_Sheet!G:G,MATCH(A83,Master_Sheet!A:A,0)))</f>
        <v/>
      </c>
    </row>
    <row r="84" spans="1:7">
      <c r="A84">
        <f>IF(ISBLANK(Initial_entry!A83),,Initial_entry!A83)</f>
        <v>0</v>
      </c>
      <c r="B84" t="str">
        <f>IF(ISBLANK(Initial_entry!B83),"",Initial_entry!B83)</f>
        <v/>
      </c>
      <c r="C84" t="str">
        <f>IF(ISBLANK(Initial_entry!C83),"",Initial_entry!C83)</f>
        <v/>
      </c>
      <c r="D84" t="str" cm="1">
        <f t="array" ref="D84">IF(A84=0,"",INDEX(Master_Sheet!K:K,MATCH(A84,Master_Sheet!A:A,0)))</f>
        <v/>
      </c>
      <c r="E84" t="str" cm="1">
        <f t="array" ref="E84">IF(A84=0,"",INDEX(Master_Sheet!L:L,MATCH(A84,Master_Sheet!A:A,0)))</f>
        <v/>
      </c>
      <c r="F84" t="str" cm="1">
        <f t="array" ref="F84">IF(A84=0," ",INDEX(Master_Sheet!J:J,MATCH(A84,Master_Sheet!A:A,0)))</f>
        <v xml:space="preserve"> </v>
      </c>
      <c r="G84" t="str" cm="1">
        <f t="array" ref="G84">IF(A84=0,"",INDEX(Master_Sheet!G:G,MATCH(A84,Master_Sheet!A:A,0)))</f>
        <v/>
      </c>
    </row>
    <row r="85" spans="1:7">
      <c r="A85">
        <f>IF(ISBLANK(Initial_entry!A84),,Initial_entry!A84)</f>
        <v>0</v>
      </c>
      <c r="B85" t="str">
        <f>IF(ISBLANK(Initial_entry!B84),"",Initial_entry!B84)</f>
        <v/>
      </c>
      <c r="C85" t="str">
        <f>IF(ISBLANK(Initial_entry!C84),"",Initial_entry!C84)</f>
        <v/>
      </c>
      <c r="D85" t="str" cm="1">
        <f t="array" ref="D85">IF(A85=0,"",INDEX(Master_Sheet!K:K,MATCH(A85,Master_Sheet!A:A,0)))</f>
        <v/>
      </c>
      <c r="E85" t="str" cm="1">
        <f t="array" ref="E85">IF(A85=0,"",INDEX(Master_Sheet!L:L,MATCH(A85,Master_Sheet!A:A,0)))</f>
        <v/>
      </c>
      <c r="F85" t="str" cm="1">
        <f t="array" ref="F85">IF(A85=0," ",INDEX(Master_Sheet!J:J,MATCH(A85,Master_Sheet!A:A,0)))</f>
        <v xml:space="preserve"> </v>
      </c>
      <c r="G85" t="str" cm="1">
        <f t="array" ref="G85">IF(A85=0,"",INDEX(Master_Sheet!G:G,MATCH(A85,Master_Sheet!A:A,0)))</f>
        <v/>
      </c>
    </row>
    <row r="86" spans="1:7">
      <c r="A86">
        <f>IF(ISBLANK(Initial_entry!A85),,Initial_entry!A85)</f>
        <v>0</v>
      </c>
      <c r="B86" t="str">
        <f>IF(ISBLANK(Initial_entry!B85),"",Initial_entry!B85)</f>
        <v/>
      </c>
      <c r="C86" t="str">
        <f>IF(ISBLANK(Initial_entry!C85),"",Initial_entry!C85)</f>
        <v/>
      </c>
      <c r="D86" t="str" cm="1">
        <f t="array" ref="D86">IF(A86=0,"",INDEX(Master_Sheet!K:K,MATCH(A86,Master_Sheet!A:A,0)))</f>
        <v/>
      </c>
      <c r="E86" t="str" cm="1">
        <f t="array" ref="E86">IF(A86=0,"",INDEX(Master_Sheet!L:L,MATCH(A86,Master_Sheet!A:A,0)))</f>
        <v/>
      </c>
      <c r="F86" t="str" cm="1">
        <f t="array" ref="F86">IF(A86=0," ",INDEX(Master_Sheet!J:J,MATCH(A86,Master_Sheet!A:A,0)))</f>
        <v xml:space="preserve"> </v>
      </c>
      <c r="G86" t="str" cm="1">
        <f t="array" ref="G86">IF(A86=0,"",INDEX(Master_Sheet!G:G,MATCH(A86,Master_Sheet!A:A,0)))</f>
        <v/>
      </c>
    </row>
    <row r="87" spans="1:7">
      <c r="A87">
        <f>IF(ISBLANK(Initial_entry!A86),,Initial_entry!A86)</f>
        <v>0</v>
      </c>
      <c r="B87" t="str">
        <f>IF(ISBLANK(Initial_entry!B86),"",Initial_entry!B86)</f>
        <v/>
      </c>
      <c r="C87" t="str">
        <f>IF(ISBLANK(Initial_entry!C86),"",Initial_entry!C86)</f>
        <v/>
      </c>
      <c r="D87" t="str" cm="1">
        <f t="array" ref="D87">IF(A87=0,"",INDEX(Master_Sheet!K:K,MATCH(A87,Master_Sheet!A:A,0)))</f>
        <v/>
      </c>
      <c r="E87" t="str" cm="1">
        <f t="array" ref="E87">IF(A87=0,"",INDEX(Master_Sheet!L:L,MATCH(A87,Master_Sheet!A:A,0)))</f>
        <v/>
      </c>
      <c r="F87" t="str" cm="1">
        <f t="array" ref="F87">IF(A87=0," ",INDEX(Master_Sheet!J:J,MATCH(A87,Master_Sheet!A:A,0)))</f>
        <v xml:space="preserve"> </v>
      </c>
      <c r="G87" t="str" cm="1">
        <f t="array" ref="G87">IF(A87=0,"",INDEX(Master_Sheet!G:G,MATCH(A87,Master_Sheet!A:A,0)))</f>
        <v/>
      </c>
    </row>
    <row r="88" spans="1:7">
      <c r="A88">
        <f>IF(ISBLANK(Initial_entry!A87),,Initial_entry!A87)</f>
        <v>0</v>
      </c>
      <c r="B88" t="str">
        <f>IF(ISBLANK(Initial_entry!B87),"",Initial_entry!B87)</f>
        <v/>
      </c>
      <c r="C88" t="str">
        <f>IF(ISBLANK(Initial_entry!C87),"",Initial_entry!C87)</f>
        <v/>
      </c>
      <c r="D88" t="str" cm="1">
        <f t="array" ref="D88">IF(A88=0,"",INDEX(Master_Sheet!K:K,MATCH(A88,Master_Sheet!A:A,0)))</f>
        <v/>
      </c>
      <c r="E88" t="str" cm="1">
        <f t="array" ref="E88">IF(A88=0,"",INDEX(Master_Sheet!L:L,MATCH(A88,Master_Sheet!A:A,0)))</f>
        <v/>
      </c>
      <c r="F88" t="str" cm="1">
        <f t="array" ref="F88">IF(A88=0," ",INDEX(Master_Sheet!J:J,MATCH(A88,Master_Sheet!A:A,0)))</f>
        <v xml:space="preserve"> </v>
      </c>
      <c r="G88" t="str" cm="1">
        <f t="array" ref="G88">IF(A88=0,"",INDEX(Master_Sheet!G:G,MATCH(A88,Master_Sheet!A:A,0)))</f>
        <v/>
      </c>
    </row>
    <row r="89" spans="1:7">
      <c r="A89">
        <f>IF(ISBLANK(Initial_entry!A88),,Initial_entry!A88)</f>
        <v>0</v>
      </c>
      <c r="B89" t="str">
        <f>IF(ISBLANK(Initial_entry!B88),"",Initial_entry!B88)</f>
        <v/>
      </c>
      <c r="C89" t="str">
        <f>IF(ISBLANK(Initial_entry!C88),"",Initial_entry!C88)</f>
        <v/>
      </c>
      <c r="D89" t="str" cm="1">
        <f t="array" ref="D89">IF(A89=0,"",INDEX(Master_Sheet!K:K,MATCH(A89,Master_Sheet!A:A,0)))</f>
        <v/>
      </c>
      <c r="E89" t="str" cm="1">
        <f t="array" ref="E89">IF(A89=0,"",INDEX(Master_Sheet!L:L,MATCH(A89,Master_Sheet!A:A,0)))</f>
        <v/>
      </c>
      <c r="F89" t="str" cm="1">
        <f t="array" ref="F89">IF(A89=0," ",INDEX(Master_Sheet!J:J,MATCH(A89,Master_Sheet!A:A,0)))</f>
        <v xml:space="preserve"> </v>
      </c>
      <c r="G89" t="str" cm="1">
        <f t="array" ref="G89">IF(A89=0,"",INDEX(Master_Sheet!G:G,MATCH(A89,Master_Sheet!A:A,0)))</f>
        <v/>
      </c>
    </row>
    <row r="90" spans="1:7">
      <c r="A90">
        <f>IF(ISBLANK(Initial_entry!A89),,Initial_entry!A89)</f>
        <v>0</v>
      </c>
      <c r="B90" t="str">
        <f>IF(ISBLANK(Initial_entry!B89),"",Initial_entry!B89)</f>
        <v/>
      </c>
      <c r="C90" t="str">
        <f>IF(ISBLANK(Initial_entry!C89),"",Initial_entry!C89)</f>
        <v/>
      </c>
      <c r="D90" t="str" cm="1">
        <f t="array" ref="D90">IF(A90=0,"",INDEX(Master_Sheet!K:K,MATCH(A90,Master_Sheet!A:A,0)))</f>
        <v/>
      </c>
      <c r="E90" t="str" cm="1">
        <f t="array" ref="E90">IF(A90=0,"",INDEX(Master_Sheet!L:L,MATCH(A90,Master_Sheet!A:A,0)))</f>
        <v/>
      </c>
      <c r="F90" t="str" cm="1">
        <f t="array" ref="F90">IF(A90=0," ",INDEX(Master_Sheet!J:J,MATCH(A90,Master_Sheet!A:A,0)))</f>
        <v xml:space="preserve"> </v>
      </c>
      <c r="G90" t="str" cm="1">
        <f t="array" ref="G90">IF(A90=0,"",INDEX(Master_Sheet!G:G,MATCH(A90,Master_Sheet!A:A,0)))</f>
        <v/>
      </c>
    </row>
    <row r="91" spans="1:7">
      <c r="A91">
        <f>IF(ISBLANK(Initial_entry!A90),,Initial_entry!A90)</f>
        <v>0</v>
      </c>
      <c r="B91" t="str">
        <f>IF(ISBLANK(Initial_entry!B90),"",Initial_entry!B90)</f>
        <v/>
      </c>
      <c r="C91" t="str">
        <f>IF(ISBLANK(Initial_entry!C90),"",Initial_entry!C90)</f>
        <v/>
      </c>
      <c r="D91" t="str" cm="1">
        <f t="array" ref="D91">IF(A91=0,"",INDEX(Master_Sheet!K:K,MATCH(A91,Master_Sheet!A:A,0)))</f>
        <v/>
      </c>
      <c r="E91" t="str" cm="1">
        <f t="array" ref="E91">IF(A91=0,"",INDEX(Master_Sheet!L:L,MATCH(A91,Master_Sheet!A:A,0)))</f>
        <v/>
      </c>
      <c r="F91" t="str" cm="1">
        <f t="array" ref="F91">IF(A91=0," ",INDEX(Master_Sheet!J:J,MATCH(A91,Master_Sheet!A:A,0)))</f>
        <v xml:space="preserve"> </v>
      </c>
      <c r="G91" t="str" cm="1">
        <f t="array" ref="G91">IF(A91=0,"",INDEX(Master_Sheet!G:G,MATCH(A91,Master_Sheet!A:A,0)))</f>
        <v/>
      </c>
    </row>
    <row r="92" spans="1:7">
      <c r="A92">
        <f>IF(ISBLANK(Initial_entry!A91),,Initial_entry!A91)</f>
        <v>0</v>
      </c>
      <c r="B92" t="str">
        <f>IF(ISBLANK(Initial_entry!B91),"",Initial_entry!B91)</f>
        <v/>
      </c>
      <c r="C92" t="str">
        <f>IF(ISBLANK(Initial_entry!C91),"",Initial_entry!C91)</f>
        <v/>
      </c>
      <c r="D92" t="str" cm="1">
        <f t="array" ref="D92">IF(A92=0,"",INDEX(Master_Sheet!K:K,MATCH(A92,Master_Sheet!A:A,0)))</f>
        <v/>
      </c>
      <c r="E92" t="str" cm="1">
        <f t="array" ref="E92">IF(A92=0,"",INDEX(Master_Sheet!L:L,MATCH(A92,Master_Sheet!A:A,0)))</f>
        <v/>
      </c>
      <c r="F92" t="str" cm="1">
        <f t="array" ref="F92">IF(A92=0," ",INDEX(Master_Sheet!J:J,MATCH(A92,Master_Sheet!A:A,0)))</f>
        <v xml:space="preserve"> </v>
      </c>
      <c r="G92" t="str" cm="1">
        <f t="array" ref="G92">IF(A92=0,"",INDEX(Master_Sheet!G:G,MATCH(A92,Master_Sheet!A:A,0)))</f>
        <v/>
      </c>
    </row>
    <row r="93" spans="1:7">
      <c r="A93">
        <f>IF(ISBLANK(Initial_entry!A92),,Initial_entry!A92)</f>
        <v>0</v>
      </c>
      <c r="B93" t="str">
        <f>IF(ISBLANK(Initial_entry!B92),"",Initial_entry!B92)</f>
        <v/>
      </c>
      <c r="C93" t="str">
        <f>IF(ISBLANK(Initial_entry!C92),"",Initial_entry!C92)</f>
        <v/>
      </c>
      <c r="D93" t="str" cm="1">
        <f t="array" ref="D93">IF(A93=0,"",INDEX(Master_Sheet!K:K,MATCH(A93,Master_Sheet!A:A,0)))</f>
        <v/>
      </c>
      <c r="E93" t="str" cm="1">
        <f t="array" ref="E93">IF(A93=0,"",INDEX(Master_Sheet!L:L,MATCH(A93,Master_Sheet!A:A,0)))</f>
        <v/>
      </c>
      <c r="F93" t="str" cm="1">
        <f t="array" ref="F93">IF(A93=0," ",INDEX(Master_Sheet!J:J,MATCH(A93,Master_Sheet!A:A,0)))</f>
        <v xml:space="preserve"> </v>
      </c>
      <c r="G93" t="str" cm="1">
        <f t="array" ref="G93">IF(A93=0,"",INDEX(Master_Sheet!G:G,MATCH(A93,Master_Sheet!A:A,0)))</f>
        <v/>
      </c>
    </row>
    <row r="94" spans="1:7">
      <c r="A94">
        <f>IF(ISBLANK(Initial_entry!A93),,Initial_entry!A93)</f>
        <v>0</v>
      </c>
      <c r="B94" t="str">
        <f>IF(ISBLANK(Initial_entry!B93),"",Initial_entry!B93)</f>
        <v/>
      </c>
      <c r="C94" t="str">
        <f>IF(ISBLANK(Initial_entry!C93),"",Initial_entry!C93)</f>
        <v/>
      </c>
      <c r="D94" t="str" cm="1">
        <f t="array" ref="D94">IF(A94=0,"",INDEX(Master_Sheet!K:K,MATCH(A94,Master_Sheet!A:A,0)))</f>
        <v/>
      </c>
      <c r="E94" t="str" cm="1">
        <f t="array" ref="E94">IF(A94=0,"",INDEX(Master_Sheet!L:L,MATCH(A94,Master_Sheet!A:A,0)))</f>
        <v/>
      </c>
      <c r="F94" t="str" cm="1">
        <f t="array" ref="F94">IF(A94=0," ",INDEX(Master_Sheet!J:J,MATCH(A94,Master_Sheet!A:A,0)))</f>
        <v xml:space="preserve"> </v>
      </c>
      <c r="G94" t="str" cm="1">
        <f t="array" ref="G94">IF(A94=0,"",INDEX(Master_Sheet!G:G,MATCH(A94,Master_Sheet!A:A,0)))</f>
        <v/>
      </c>
    </row>
    <row r="95" spans="1:7">
      <c r="A95">
        <f>IF(ISBLANK(Initial_entry!A94),,Initial_entry!A94)</f>
        <v>0</v>
      </c>
      <c r="B95" t="str">
        <f>IF(ISBLANK(Initial_entry!B94),"",Initial_entry!B94)</f>
        <v/>
      </c>
      <c r="C95" t="str">
        <f>IF(ISBLANK(Initial_entry!C94),"",Initial_entry!C94)</f>
        <v/>
      </c>
      <c r="D95" t="str" cm="1">
        <f t="array" ref="D95">IF(A95=0,"",INDEX(Master_Sheet!K:K,MATCH(A95,Master_Sheet!A:A,0)))</f>
        <v/>
      </c>
      <c r="E95" t="str" cm="1">
        <f t="array" ref="E95">IF(A95=0,"",INDEX(Master_Sheet!L:L,MATCH(A95,Master_Sheet!A:A,0)))</f>
        <v/>
      </c>
      <c r="F95" t="str" cm="1">
        <f t="array" ref="F95">IF(A95=0," ",INDEX(Master_Sheet!J:J,MATCH(A95,Master_Sheet!A:A,0)))</f>
        <v xml:space="preserve"> </v>
      </c>
      <c r="G95" t="str" cm="1">
        <f t="array" ref="G95">IF(A95=0,"",INDEX(Master_Sheet!G:G,MATCH(A95,Master_Sheet!A:A,0)))</f>
        <v/>
      </c>
    </row>
    <row r="96" spans="1:7">
      <c r="A96">
        <f>IF(ISBLANK(Initial_entry!A95),,Initial_entry!A95)</f>
        <v>0</v>
      </c>
      <c r="B96" t="str">
        <f>IF(ISBLANK(Initial_entry!B95),"",Initial_entry!B95)</f>
        <v/>
      </c>
      <c r="C96" t="str">
        <f>IF(ISBLANK(Initial_entry!C95),"",Initial_entry!C95)</f>
        <v/>
      </c>
      <c r="D96" t="str" cm="1">
        <f t="array" ref="D96">IF(A96=0,"",INDEX(Master_Sheet!K:K,MATCH(A96,Master_Sheet!A:A,0)))</f>
        <v/>
      </c>
      <c r="E96" t="str" cm="1">
        <f t="array" ref="E96">IF(A96=0,"",INDEX(Master_Sheet!L:L,MATCH(A96,Master_Sheet!A:A,0)))</f>
        <v/>
      </c>
      <c r="F96" t="str" cm="1">
        <f t="array" ref="F96">IF(A96=0," ",INDEX(Master_Sheet!J:J,MATCH(A96,Master_Sheet!A:A,0)))</f>
        <v xml:space="preserve"> </v>
      </c>
      <c r="G96" t="str" cm="1">
        <f t="array" ref="G96">IF(A96=0,"",INDEX(Master_Sheet!G:G,MATCH(A96,Master_Sheet!A:A,0)))</f>
        <v/>
      </c>
    </row>
    <row r="97" spans="1:7">
      <c r="A97">
        <f>IF(ISBLANK(Initial_entry!A96),,Initial_entry!A96)</f>
        <v>0</v>
      </c>
      <c r="B97" t="str">
        <f>IF(ISBLANK(Initial_entry!B96),"",Initial_entry!B96)</f>
        <v/>
      </c>
      <c r="C97" t="str">
        <f>IF(ISBLANK(Initial_entry!C96),"",Initial_entry!C96)</f>
        <v/>
      </c>
      <c r="D97" t="str" cm="1">
        <f t="array" ref="D97">IF(A97=0,"",INDEX(Master_Sheet!K:K,MATCH(A97,Master_Sheet!A:A,0)))</f>
        <v/>
      </c>
      <c r="E97" t="str" cm="1">
        <f t="array" ref="E97">IF(A97=0,"",INDEX(Master_Sheet!L:L,MATCH(A97,Master_Sheet!A:A,0)))</f>
        <v/>
      </c>
      <c r="F97" t="str" cm="1">
        <f t="array" ref="F97">IF(A97=0," ",INDEX(Master_Sheet!J:J,MATCH(A97,Master_Sheet!A:A,0)))</f>
        <v xml:space="preserve"> </v>
      </c>
      <c r="G97" t="str" cm="1">
        <f t="array" ref="G97">IF(A97=0,"",INDEX(Master_Sheet!G:G,MATCH(A97,Master_Sheet!A:A,0)))</f>
        <v/>
      </c>
    </row>
    <row r="98" spans="1:7">
      <c r="A98">
        <f>IF(ISBLANK(Initial_entry!A97),,Initial_entry!A97)</f>
        <v>0</v>
      </c>
      <c r="B98" t="str">
        <f>IF(ISBLANK(Initial_entry!B97),"",Initial_entry!B97)</f>
        <v/>
      </c>
      <c r="C98" t="str">
        <f>IF(ISBLANK(Initial_entry!C97),"",Initial_entry!C97)</f>
        <v/>
      </c>
      <c r="D98" t="str" cm="1">
        <f t="array" ref="D98">IF(A98=0,"",INDEX(Master_Sheet!K:K,MATCH(A98,Master_Sheet!A:A,0)))</f>
        <v/>
      </c>
      <c r="E98" t="str" cm="1">
        <f t="array" ref="E98">IF(A98=0,"",INDEX(Master_Sheet!L:L,MATCH(A98,Master_Sheet!A:A,0)))</f>
        <v/>
      </c>
      <c r="F98" t="str" cm="1">
        <f t="array" ref="F98">IF(A98=0," ",INDEX(Master_Sheet!J:J,MATCH(A98,Master_Sheet!A:A,0)))</f>
        <v xml:space="preserve"> </v>
      </c>
      <c r="G98" t="str" cm="1">
        <f t="array" ref="G98">IF(A98=0,"",INDEX(Master_Sheet!G:G,MATCH(A98,Master_Sheet!A:A,0)))</f>
        <v/>
      </c>
    </row>
    <row r="99" spans="1:7">
      <c r="A99">
        <f>IF(ISBLANK(Initial_entry!A98),,Initial_entry!A98)</f>
        <v>0</v>
      </c>
      <c r="B99" t="str">
        <f>IF(ISBLANK(Initial_entry!B98),"",Initial_entry!B98)</f>
        <v/>
      </c>
      <c r="C99" t="str">
        <f>IF(ISBLANK(Initial_entry!C98),"",Initial_entry!C98)</f>
        <v/>
      </c>
      <c r="D99" t="str" cm="1">
        <f t="array" ref="D99">IF(A99=0,"",INDEX(Master_Sheet!K:K,MATCH(A99,Master_Sheet!A:A,0)))</f>
        <v/>
      </c>
      <c r="E99" t="str" cm="1">
        <f t="array" ref="E99">IF(A99=0,"",INDEX(Master_Sheet!L:L,MATCH(A99,Master_Sheet!A:A,0)))</f>
        <v/>
      </c>
      <c r="F99" t="str" cm="1">
        <f t="array" ref="F99">IF(A99=0," ",INDEX(Master_Sheet!J:J,MATCH(A99,Master_Sheet!A:A,0)))</f>
        <v xml:space="preserve"> </v>
      </c>
      <c r="G99" t="str" cm="1">
        <f t="array" ref="G99">IF(A99=0,"",INDEX(Master_Sheet!G:G,MATCH(A99,Master_Sheet!A:A,0)))</f>
        <v/>
      </c>
    </row>
    <row r="100" spans="1:7">
      <c r="A100">
        <f>IF(ISBLANK(Initial_entry!A99),,Initial_entry!A99)</f>
        <v>0</v>
      </c>
      <c r="B100" t="str">
        <f>IF(ISBLANK(Initial_entry!B99),"",Initial_entry!B99)</f>
        <v/>
      </c>
      <c r="C100" t="str">
        <f>IF(ISBLANK(Initial_entry!C99),"",Initial_entry!C99)</f>
        <v/>
      </c>
      <c r="D100" t="str" cm="1">
        <f t="array" ref="D100">IF(A100=0,"",INDEX(Master_Sheet!K:K,MATCH(A100,Master_Sheet!A:A,0)))</f>
        <v/>
      </c>
      <c r="E100" t="str" cm="1">
        <f t="array" ref="E100">IF(A100=0,"",INDEX(Master_Sheet!L:L,MATCH(A100,Master_Sheet!A:A,0)))</f>
        <v/>
      </c>
      <c r="F100" t="str" cm="1">
        <f t="array" ref="F100">IF(A100=0," ",INDEX(Master_Sheet!J:J,MATCH(A100,Master_Sheet!A:A,0)))</f>
        <v xml:space="preserve"> </v>
      </c>
      <c r="G100" t="str" cm="1">
        <f t="array" ref="G100">IF(A100=0,"",INDEX(Master_Sheet!G:G,MATCH(A100,Master_Sheet!A:A,0)))</f>
        <v/>
      </c>
    </row>
    <row r="101" spans="1:7">
      <c r="A101">
        <f>IF(ISBLANK(Initial_entry!A100),,Initial_entry!A100)</f>
        <v>0</v>
      </c>
      <c r="B101" t="str">
        <f>IF(ISBLANK(Initial_entry!B100),"",Initial_entry!B100)</f>
        <v/>
      </c>
      <c r="C101" t="str">
        <f>IF(ISBLANK(Initial_entry!C100),"",Initial_entry!C100)</f>
        <v/>
      </c>
      <c r="D101" t="str" cm="1">
        <f t="array" ref="D101">IF(A101=0,"",INDEX(Master_Sheet!K:K,MATCH(A101,Master_Sheet!A:A,0)))</f>
        <v/>
      </c>
      <c r="E101" t="str" cm="1">
        <f t="array" ref="E101">IF(A101=0,"",INDEX(Master_Sheet!L:L,MATCH(A101,Master_Sheet!A:A,0)))</f>
        <v/>
      </c>
      <c r="F101" t="str" cm="1">
        <f t="array" ref="F101">IF(A101=0," ",INDEX(Master_Sheet!J:J,MATCH(A101,Master_Sheet!A:A,0)))</f>
        <v xml:space="preserve"> </v>
      </c>
      <c r="G101" t="str" cm="1">
        <f t="array" ref="G101">IF(A101=0,"",INDEX(Master_Sheet!G:G,MATCH(A101,Master_Sheet!A:A,0)))</f>
        <v/>
      </c>
    </row>
    <row r="102" spans="1:7">
      <c r="A102">
        <f>IF(ISBLANK(Initial_entry!A101),,Initial_entry!A101)</f>
        <v>0</v>
      </c>
      <c r="B102" t="str">
        <f>IF(ISBLANK(Initial_entry!B101),"",Initial_entry!B101)</f>
        <v/>
      </c>
      <c r="C102" t="str">
        <f>IF(ISBLANK(Initial_entry!C101),"",Initial_entry!C101)</f>
        <v/>
      </c>
      <c r="D102" t="str" cm="1">
        <f t="array" ref="D102">IF(A102=0,"",INDEX(Master_Sheet!K:K,MATCH(A102,Master_Sheet!A:A,0)))</f>
        <v/>
      </c>
      <c r="E102" t="str" cm="1">
        <f t="array" ref="E102">IF(A102=0,"",INDEX(Master_Sheet!L:L,MATCH(A102,Master_Sheet!A:A,0)))</f>
        <v/>
      </c>
      <c r="F102" t="str" cm="1">
        <f t="array" ref="F102">IF(A102=0," ",INDEX(Master_Sheet!J:J,MATCH(A102,Master_Sheet!A:A,0)))</f>
        <v xml:space="preserve"> </v>
      </c>
      <c r="G102" t="str" cm="1">
        <f t="array" ref="G102">IF(A102=0,"",INDEX(Master_Sheet!G:G,MATCH(A102,Master_Sheet!A:A,0)))</f>
        <v/>
      </c>
    </row>
    <row r="103" spans="1:7">
      <c r="A103">
        <f>IF(ISBLANK(Initial_entry!A102),,Initial_entry!A102)</f>
        <v>0</v>
      </c>
      <c r="B103" t="str">
        <f>IF(ISBLANK(Initial_entry!B102),"",Initial_entry!B102)</f>
        <v/>
      </c>
      <c r="C103" t="str">
        <f>IF(ISBLANK(Initial_entry!C102),"",Initial_entry!C102)</f>
        <v/>
      </c>
      <c r="D103" t="str" cm="1">
        <f t="array" ref="D103">IF(A103=0,"",INDEX(Master_Sheet!K:K,MATCH(A103,Master_Sheet!A:A,0)))</f>
        <v/>
      </c>
      <c r="E103" t="str" cm="1">
        <f t="array" ref="E103">IF(A103=0,"",INDEX(Master_Sheet!L:L,MATCH(A103,Master_Sheet!A:A,0)))</f>
        <v/>
      </c>
      <c r="F103" t="str" cm="1">
        <f t="array" ref="F103">IF(A103=0," ",INDEX(Master_Sheet!J:J,MATCH(A103,Master_Sheet!A:A,0)))</f>
        <v xml:space="preserve"> </v>
      </c>
      <c r="G103" t="str" cm="1">
        <f t="array" ref="G103">IF(A103=0,"",INDEX(Master_Sheet!G:G,MATCH(A103,Master_Sheet!A:A,0)))</f>
        <v/>
      </c>
    </row>
    <row r="104" spans="1:7">
      <c r="A104">
        <f>IF(ISBLANK(Initial_entry!A103),,Initial_entry!A103)</f>
        <v>0</v>
      </c>
      <c r="B104" t="str">
        <f>IF(ISBLANK(Initial_entry!B103),"",Initial_entry!B103)</f>
        <v/>
      </c>
      <c r="C104" t="str">
        <f>IF(ISBLANK(Initial_entry!C103),"",Initial_entry!C103)</f>
        <v/>
      </c>
      <c r="D104" t="str" cm="1">
        <f t="array" ref="D104">IF(A104=0,"",INDEX(Master_Sheet!K:K,MATCH(A104,Master_Sheet!A:A,0)))</f>
        <v/>
      </c>
      <c r="E104" t="str" cm="1">
        <f t="array" ref="E104">IF(A104=0,"",INDEX(Master_Sheet!L:L,MATCH(A104,Master_Sheet!A:A,0)))</f>
        <v/>
      </c>
      <c r="F104" t="str" cm="1">
        <f t="array" ref="F104">IF(A104=0," ",INDEX(Master_Sheet!J:J,MATCH(A104,Master_Sheet!A:A,0)))</f>
        <v xml:space="preserve"> </v>
      </c>
      <c r="G104" t="str" cm="1">
        <f t="array" ref="G104">IF(A104=0,"",INDEX(Master_Sheet!G:G,MATCH(A104,Master_Sheet!A:A,0)))</f>
        <v/>
      </c>
    </row>
    <row r="105" spans="1:7">
      <c r="A105">
        <f>IF(ISBLANK(Initial_entry!A104),,Initial_entry!A104)</f>
        <v>0</v>
      </c>
      <c r="B105" t="str">
        <f>IF(ISBLANK(Initial_entry!B104),"",Initial_entry!B104)</f>
        <v/>
      </c>
      <c r="C105" t="str">
        <f>IF(ISBLANK(Initial_entry!C104),"",Initial_entry!C104)</f>
        <v/>
      </c>
      <c r="D105" t="str" cm="1">
        <f t="array" ref="D105">IF(A105=0,"",INDEX(Master_Sheet!K:K,MATCH(A105,Master_Sheet!A:A,0)))</f>
        <v/>
      </c>
      <c r="E105" t="str" cm="1">
        <f t="array" ref="E105">IF(A105=0,"",INDEX(Master_Sheet!L:L,MATCH(A105,Master_Sheet!A:A,0)))</f>
        <v/>
      </c>
      <c r="F105" t="str" cm="1">
        <f t="array" ref="F105">IF(A105=0," ",INDEX(Master_Sheet!J:J,MATCH(A105,Master_Sheet!A:A,0)))</f>
        <v xml:space="preserve"> </v>
      </c>
      <c r="G105" t="str" cm="1">
        <f t="array" ref="G105">IF(A105=0,"",INDEX(Master_Sheet!G:G,MATCH(A105,Master_Sheet!A:A,0)))</f>
        <v/>
      </c>
    </row>
    <row r="106" spans="1:7">
      <c r="A106">
        <f>IF(ISBLANK(Initial_entry!A105),,Initial_entry!A105)</f>
        <v>0</v>
      </c>
      <c r="B106" t="str">
        <f>IF(ISBLANK(Initial_entry!B105),"",Initial_entry!B105)</f>
        <v/>
      </c>
      <c r="C106" t="str">
        <f>IF(ISBLANK(Initial_entry!C105),"",Initial_entry!C105)</f>
        <v/>
      </c>
      <c r="D106" t="str" cm="1">
        <f t="array" ref="D106">IF(A106=0,"",INDEX(Master_Sheet!K:K,MATCH(A106,Master_Sheet!A:A,0)))</f>
        <v/>
      </c>
      <c r="E106" t="str" cm="1">
        <f t="array" ref="E106">IF(A106=0,"",INDEX(Master_Sheet!L:L,MATCH(A106,Master_Sheet!A:A,0)))</f>
        <v/>
      </c>
      <c r="F106" t="str" cm="1">
        <f t="array" ref="F106">IF(A106=0," ",INDEX(Master_Sheet!J:J,MATCH(A106,Master_Sheet!A:A,0)))</f>
        <v xml:space="preserve"> </v>
      </c>
      <c r="G106" t="str" cm="1">
        <f t="array" ref="G106">IF(A106=0,"",INDEX(Master_Sheet!G:G,MATCH(A106,Master_Sheet!A:A,0)))</f>
        <v/>
      </c>
    </row>
    <row r="107" spans="1:7">
      <c r="A107">
        <f>IF(ISBLANK(Initial_entry!A106),,Initial_entry!A106)</f>
        <v>0</v>
      </c>
      <c r="B107" t="str">
        <f>IF(ISBLANK(Initial_entry!B106),"",Initial_entry!B106)</f>
        <v/>
      </c>
      <c r="C107" t="str">
        <f>IF(ISBLANK(Initial_entry!C106),"",Initial_entry!C106)</f>
        <v/>
      </c>
      <c r="D107" t="str" cm="1">
        <f t="array" ref="D107">IF(A107=0,"",INDEX(Master_Sheet!K:K,MATCH(A107,Master_Sheet!A:A,0)))</f>
        <v/>
      </c>
      <c r="E107" t="str" cm="1">
        <f t="array" ref="E107">IF(A107=0,"",INDEX(Master_Sheet!L:L,MATCH(A107,Master_Sheet!A:A,0)))</f>
        <v/>
      </c>
      <c r="F107" t="str" cm="1">
        <f t="array" ref="F107">IF(A107=0," ",INDEX(Master_Sheet!J:J,MATCH(A107,Master_Sheet!A:A,0)))</f>
        <v xml:space="preserve"> </v>
      </c>
      <c r="G107" t="str" cm="1">
        <f t="array" ref="G107">IF(A107=0,"",INDEX(Master_Sheet!G:G,MATCH(A107,Master_Sheet!A:A,0)))</f>
        <v/>
      </c>
    </row>
    <row r="108" spans="1:7">
      <c r="A108">
        <f>IF(ISBLANK(Initial_entry!A107),,Initial_entry!A107)</f>
        <v>0</v>
      </c>
      <c r="B108" t="str">
        <f>IF(ISBLANK(Initial_entry!B107),"",Initial_entry!B107)</f>
        <v/>
      </c>
      <c r="C108" t="str">
        <f>IF(ISBLANK(Initial_entry!C107),"",Initial_entry!C107)</f>
        <v/>
      </c>
      <c r="D108" t="str" cm="1">
        <f t="array" ref="D108">IF(A108=0,"",INDEX(Master_Sheet!K:K,MATCH(A108,Master_Sheet!A:A,0)))</f>
        <v/>
      </c>
      <c r="E108" t="str" cm="1">
        <f t="array" ref="E108">IF(A108=0,"",INDEX(Master_Sheet!L:L,MATCH(A108,Master_Sheet!A:A,0)))</f>
        <v/>
      </c>
      <c r="F108" t="str" cm="1">
        <f t="array" ref="F108">IF(A108=0," ",INDEX(Master_Sheet!J:J,MATCH(A108,Master_Sheet!A:A,0)))</f>
        <v xml:space="preserve"> </v>
      </c>
      <c r="G108" t="str" cm="1">
        <f t="array" ref="G108">IF(A108=0,"",INDEX(Master_Sheet!G:G,MATCH(A108,Master_Sheet!A:A,0)))</f>
        <v/>
      </c>
    </row>
    <row r="109" spans="1:7">
      <c r="A109">
        <f>IF(ISBLANK(Initial_entry!A108),,Initial_entry!A108)</f>
        <v>0</v>
      </c>
      <c r="B109" t="str">
        <f>IF(ISBLANK(Initial_entry!B108),"",Initial_entry!B108)</f>
        <v/>
      </c>
      <c r="C109" t="str">
        <f>IF(ISBLANK(Initial_entry!C108),"",Initial_entry!C108)</f>
        <v/>
      </c>
      <c r="D109" t="str" cm="1">
        <f t="array" ref="D109">IF(A109=0,"",INDEX(Master_Sheet!K:K,MATCH(A109,Master_Sheet!A:A,0)))</f>
        <v/>
      </c>
      <c r="E109" t="str" cm="1">
        <f t="array" ref="E109">IF(A109=0,"",INDEX(Master_Sheet!L:L,MATCH(A109,Master_Sheet!A:A,0)))</f>
        <v/>
      </c>
      <c r="F109" t="str" cm="1">
        <f t="array" ref="F109">IF(A109=0," ",INDEX(Master_Sheet!J:J,MATCH(A109,Master_Sheet!A:A,0)))</f>
        <v xml:space="preserve"> </v>
      </c>
      <c r="G109" t="str" cm="1">
        <f t="array" ref="G109">IF(A109=0,"",INDEX(Master_Sheet!G:G,MATCH(A109,Master_Sheet!A:A,0)))</f>
        <v/>
      </c>
    </row>
    <row r="110" spans="1:7">
      <c r="A110">
        <f>IF(ISBLANK(Initial_entry!A109),,Initial_entry!A109)</f>
        <v>0</v>
      </c>
      <c r="B110" t="str">
        <f>IF(ISBLANK(Initial_entry!B109),"",Initial_entry!B109)</f>
        <v/>
      </c>
      <c r="C110" t="str">
        <f>IF(ISBLANK(Initial_entry!C109),"",Initial_entry!C109)</f>
        <v/>
      </c>
      <c r="D110" t="str" cm="1">
        <f t="array" ref="D110">IF(A110=0,"",INDEX(Master_Sheet!K:K,MATCH(A110,Master_Sheet!A:A,0)))</f>
        <v/>
      </c>
      <c r="E110" t="str" cm="1">
        <f t="array" ref="E110">IF(A110=0,"",INDEX(Master_Sheet!L:L,MATCH(A110,Master_Sheet!A:A,0)))</f>
        <v/>
      </c>
      <c r="F110" t="str" cm="1">
        <f t="array" ref="F110">IF(A110=0," ",INDEX(Master_Sheet!J:J,MATCH(A110,Master_Sheet!A:A,0)))</f>
        <v xml:space="preserve"> </v>
      </c>
      <c r="G110" t="str" cm="1">
        <f t="array" ref="G110">IF(A110=0,"",INDEX(Master_Sheet!G:G,MATCH(A110,Master_Sheet!A:A,0)))</f>
        <v/>
      </c>
    </row>
    <row r="111" spans="1:7">
      <c r="A111">
        <f>IF(ISBLANK(Initial_entry!A110),,Initial_entry!A110)</f>
        <v>0</v>
      </c>
      <c r="B111" t="str">
        <f>IF(ISBLANK(Initial_entry!B110),"",Initial_entry!B110)</f>
        <v/>
      </c>
      <c r="C111" t="str">
        <f>IF(ISBLANK(Initial_entry!C110),"",Initial_entry!C110)</f>
        <v/>
      </c>
      <c r="D111" t="str" cm="1">
        <f t="array" ref="D111">IF(A111=0,"",INDEX(Master_Sheet!K:K,MATCH(A111,Master_Sheet!A:A,0)))</f>
        <v/>
      </c>
      <c r="E111" t="str" cm="1">
        <f t="array" ref="E111">IF(A111=0,"",INDEX(Master_Sheet!L:L,MATCH(A111,Master_Sheet!A:A,0)))</f>
        <v/>
      </c>
      <c r="F111" t="str" cm="1">
        <f t="array" ref="F111">IF(A111=0," ",INDEX(Master_Sheet!J:J,MATCH(A111,Master_Sheet!A:A,0)))</f>
        <v xml:space="preserve"> </v>
      </c>
      <c r="G111" t="str" cm="1">
        <f t="array" ref="G111">IF(A111=0,"",INDEX(Master_Sheet!G:G,MATCH(A111,Master_Sheet!A:A,0)))</f>
        <v/>
      </c>
    </row>
    <row r="112" spans="1:7">
      <c r="A112">
        <f>IF(ISBLANK(Initial_entry!A111),,Initial_entry!A111)</f>
        <v>0</v>
      </c>
      <c r="B112" t="str">
        <f>IF(ISBLANK(Initial_entry!B111),"",Initial_entry!B111)</f>
        <v/>
      </c>
      <c r="C112" t="str">
        <f>IF(ISBLANK(Initial_entry!C111),"",Initial_entry!C111)</f>
        <v/>
      </c>
      <c r="D112" t="str" cm="1">
        <f t="array" ref="D112">IF(A112=0,"",INDEX(Master_Sheet!K:K,MATCH(A112,Master_Sheet!A:A,0)))</f>
        <v/>
      </c>
      <c r="E112" t="str" cm="1">
        <f t="array" ref="E112">IF(A112=0,"",INDEX(Master_Sheet!L:L,MATCH(A112,Master_Sheet!A:A,0)))</f>
        <v/>
      </c>
      <c r="F112" t="str" cm="1">
        <f t="array" ref="F112">IF(A112=0," ",INDEX(Master_Sheet!J:J,MATCH(A112,Master_Sheet!A:A,0)))</f>
        <v xml:space="preserve"> </v>
      </c>
      <c r="G112" t="str" cm="1">
        <f t="array" ref="G112">IF(A112=0,"",INDEX(Master_Sheet!G:G,MATCH(A112,Master_Sheet!A:A,0)))</f>
        <v/>
      </c>
    </row>
    <row r="113" spans="1:7">
      <c r="A113">
        <f>IF(ISBLANK(Initial_entry!A112),,Initial_entry!A112)</f>
        <v>0</v>
      </c>
      <c r="B113" t="str">
        <f>IF(ISBLANK(Initial_entry!B112),"",Initial_entry!B112)</f>
        <v/>
      </c>
      <c r="C113" t="str">
        <f>IF(ISBLANK(Initial_entry!C112),"",Initial_entry!C112)</f>
        <v/>
      </c>
      <c r="D113" t="str" cm="1">
        <f t="array" ref="D113">IF(A113=0,"",INDEX(Master_Sheet!K:K,MATCH(A113,Master_Sheet!A:A,0)))</f>
        <v/>
      </c>
      <c r="E113" t="str" cm="1">
        <f t="array" ref="E113">IF(A113=0,"",INDEX(Master_Sheet!L:L,MATCH(A113,Master_Sheet!A:A,0)))</f>
        <v/>
      </c>
      <c r="F113" t="str" cm="1">
        <f t="array" ref="F113">IF(A113=0," ",INDEX(Master_Sheet!J:J,MATCH(A113,Master_Sheet!A:A,0)))</f>
        <v xml:space="preserve"> </v>
      </c>
      <c r="G113" t="str" cm="1">
        <f t="array" ref="G113">IF(A113=0,"",INDEX(Master_Sheet!G:G,MATCH(A113,Master_Sheet!A:A,0)))</f>
        <v/>
      </c>
    </row>
    <row r="114" spans="1:7">
      <c r="A114">
        <f>IF(ISBLANK(Initial_entry!A113),,Initial_entry!A113)</f>
        <v>0</v>
      </c>
      <c r="B114" t="str">
        <f>IF(ISBLANK(Initial_entry!B113),"",Initial_entry!B113)</f>
        <v/>
      </c>
      <c r="C114" t="str">
        <f>IF(ISBLANK(Initial_entry!C113),"",Initial_entry!C113)</f>
        <v/>
      </c>
      <c r="D114" t="str" cm="1">
        <f t="array" ref="D114">IF(A114=0,"",INDEX(Master_Sheet!K:K,MATCH(A114,Master_Sheet!A:A,0)))</f>
        <v/>
      </c>
      <c r="E114" t="str" cm="1">
        <f t="array" ref="E114">IF(A114=0,"",INDEX(Master_Sheet!L:L,MATCH(A114,Master_Sheet!A:A,0)))</f>
        <v/>
      </c>
      <c r="F114" t="str" cm="1">
        <f t="array" ref="F114">IF(A114=0," ",INDEX(Master_Sheet!J:J,MATCH(A114,Master_Sheet!A:A,0)))</f>
        <v xml:space="preserve"> </v>
      </c>
      <c r="G114" t="str" cm="1">
        <f t="array" ref="G114">IF(A114=0,"",INDEX(Master_Sheet!G:G,MATCH(A114,Master_Sheet!A:A,0)))</f>
        <v/>
      </c>
    </row>
    <row r="115" spans="1:7">
      <c r="A115">
        <f>IF(ISBLANK(Initial_entry!A114),,Initial_entry!A114)</f>
        <v>0</v>
      </c>
      <c r="B115" t="str">
        <f>IF(ISBLANK(Initial_entry!B114),"",Initial_entry!B114)</f>
        <v/>
      </c>
      <c r="C115" t="str">
        <f>IF(ISBLANK(Initial_entry!C114),"",Initial_entry!C114)</f>
        <v/>
      </c>
      <c r="D115" t="str" cm="1">
        <f t="array" ref="D115">IF(A115=0,"",INDEX(Master_Sheet!K:K,MATCH(A115,Master_Sheet!A:A,0)))</f>
        <v/>
      </c>
      <c r="E115" t="str" cm="1">
        <f t="array" ref="E115">IF(A115=0,"",INDEX(Master_Sheet!L:L,MATCH(A115,Master_Sheet!A:A,0)))</f>
        <v/>
      </c>
      <c r="F115" t="str" cm="1">
        <f t="array" ref="F115">IF(A115=0," ",INDEX(Master_Sheet!J:J,MATCH(A115,Master_Sheet!A:A,0)))</f>
        <v xml:space="preserve"> </v>
      </c>
      <c r="G115" t="str" cm="1">
        <f t="array" ref="G115">IF(A115=0,"",INDEX(Master_Sheet!G:G,MATCH(A115,Master_Sheet!A:A,0)))</f>
        <v/>
      </c>
    </row>
    <row r="116" spans="1:7">
      <c r="A116">
        <f>IF(ISBLANK(Initial_entry!A115),,Initial_entry!A115)</f>
        <v>0</v>
      </c>
      <c r="B116" t="str">
        <f>IF(ISBLANK(Initial_entry!B115),"",Initial_entry!B115)</f>
        <v/>
      </c>
      <c r="C116" t="str">
        <f>IF(ISBLANK(Initial_entry!C115),"",Initial_entry!C115)</f>
        <v/>
      </c>
      <c r="D116" t="str" cm="1">
        <f t="array" ref="D116">IF(A116=0,"",INDEX(Master_Sheet!K:K,MATCH(A116,Master_Sheet!A:A,0)))</f>
        <v/>
      </c>
      <c r="E116" t="str" cm="1">
        <f t="array" ref="E116">IF(A116=0,"",INDEX(Master_Sheet!L:L,MATCH(A116,Master_Sheet!A:A,0)))</f>
        <v/>
      </c>
      <c r="F116" t="str" cm="1">
        <f t="array" ref="F116">IF(A116=0," ",INDEX(Master_Sheet!J:J,MATCH(A116,Master_Sheet!A:A,0)))</f>
        <v xml:space="preserve"> </v>
      </c>
      <c r="G116" t="str" cm="1">
        <f t="array" ref="G116">IF(A116=0,"",INDEX(Master_Sheet!G:G,MATCH(A116,Master_Sheet!A:A,0)))</f>
        <v/>
      </c>
    </row>
    <row r="117" spans="1:7">
      <c r="A117">
        <f>IF(ISBLANK(Initial_entry!A116),,Initial_entry!A116)</f>
        <v>0</v>
      </c>
      <c r="B117" t="str">
        <f>IF(ISBLANK(Initial_entry!B116),"",Initial_entry!B116)</f>
        <v/>
      </c>
      <c r="C117" t="str">
        <f>IF(ISBLANK(Initial_entry!C116),"",Initial_entry!C116)</f>
        <v/>
      </c>
      <c r="D117" t="str" cm="1">
        <f t="array" ref="D117">IF(A117=0,"",INDEX(Master_Sheet!K:K,MATCH(A117,Master_Sheet!A:A,0)))</f>
        <v/>
      </c>
      <c r="E117" t="str" cm="1">
        <f t="array" ref="E117">IF(A117=0,"",INDEX(Master_Sheet!L:L,MATCH(A117,Master_Sheet!A:A,0)))</f>
        <v/>
      </c>
      <c r="F117" t="str" cm="1">
        <f t="array" ref="F117">IF(A117=0," ",INDEX(Master_Sheet!J:J,MATCH(A117,Master_Sheet!A:A,0)))</f>
        <v xml:space="preserve"> </v>
      </c>
      <c r="G117" t="str" cm="1">
        <f t="array" ref="G117">IF(A117=0,"",INDEX(Master_Sheet!G:G,MATCH(A117,Master_Sheet!A:A,0)))</f>
        <v/>
      </c>
    </row>
    <row r="118" spans="1:7">
      <c r="A118">
        <f>IF(ISBLANK(Initial_entry!A117),,Initial_entry!A117)</f>
        <v>0</v>
      </c>
      <c r="B118" t="str">
        <f>IF(ISBLANK(Initial_entry!B117),"",Initial_entry!B117)</f>
        <v/>
      </c>
      <c r="C118" t="str">
        <f>IF(ISBLANK(Initial_entry!C117),"",Initial_entry!C117)</f>
        <v/>
      </c>
      <c r="D118" t="str" cm="1">
        <f t="array" ref="D118">IF(A118=0,"",INDEX(Master_Sheet!K:K,MATCH(A118,Master_Sheet!A:A,0)))</f>
        <v/>
      </c>
      <c r="E118" t="str" cm="1">
        <f t="array" ref="E118">IF(A118=0,"",INDEX(Master_Sheet!L:L,MATCH(A118,Master_Sheet!A:A,0)))</f>
        <v/>
      </c>
      <c r="F118" t="str" cm="1">
        <f t="array" ref="F118">IF(A118=0," ",INDEX(Master_Sheet!J:J,MATCH(A118,Master_Sheet!A:A,0)))</f>
        <v xml:space="preserve"> </v>
      </c>
      <c r="G118" t="str" cm="1">
        <f t="array" ref="G118">IF(A118=0,"",INDEX(Master_Sheet!G:G,MATCH(A118,Master_Sheet!A:A,0)))</f>
        <v/>
      </c>
    </row>
    <row r="119" spans="1:7">
      <c r="A119">
        <f>IF(ISBLANK(Initial_entry!A118),,Initial_entry!A118)</f>
        <v>0</v>
      </c>
      <c r="B119" t="str">
        <f>IF(ISBLANK(Initial_entry!B118),"",Initial_entry!B118)</f>
        <v/>
      </c>
      <c r="C119" t="str">
        <f>IF(ISBLANK(Initial_entry!C118),"",Initial_entry!C118)</f>
        <v/>
      </c>
      <c r="D119" t="str" cm="1">
        <f t="array" ref="D119">IF(A119=0,"",INDEX(Master_Sheet!K:K,MATCH(A119,Master_Sheet!A:A,0)))</f>
        <v/>
      </c>
      <c r="E119" t="str" cm="1">
        <f t="array" ref="E119">IF(A119=0,"",INDEX(Master_Sheet!L:L,MATCH(A119,Master_Sheet!A:A,0)))</f>
        <v/>
      </c>
      <c r="F119" t="str" cm="1">
        <f t="array" ref="F119">IF(A119=0," ",INDEX(Master_Sheet!J:J,MATCH(A119,Master_Sheet!A:A,0)))</f>
        <v xml:space="preserve"> </v>
      </c>
      <c r="G119" t="str" cm="1">
        <f t="array" ref="G119">IF(A119=0,"",INDEX(Master_Sheet!G:G,MATCH(A119,Master_Sheet!A:A,0)))</f>
        <v/>
      </c>
    </row>
    <row r="120" spans="1:7">
      <c r="A120">
        <f>IF(ISBLANK(Initial_entry!A119),,Initial_entry!A119)</f>
        <v>0</v>
      </c>
      <c r="B120" t="str">
        <f>IF(ISBLANK(Initial_entry!B119),"",Initial_entry!B119)</f>
        <v/>
      </c>
      <c r="C120" t="str">
        <f>IF(ISBLANK(Initial_entry!C119),"",Initial_entry!C119)</f>
        <v/>
      </c>
      <c r="D120" t="str" cm="1">
        <f t="array" ref="D120">IF(A120=0,"",INDEX(Master_Sheet!K:K,MATCH(A120,Master_Sheet!A:A,0)))</f>
        <v/>
      </c>
      <c r="E120" t="str" cm="1">
        <f t="array" ref="E120">IF(A120=0,"",INDEX(Master_Sheet!L:L,MATCH(A120,Master_Sheet!A:A,0)))</f>
        <v/>
      </c>
      <c r="F120" t="str" cm="1">
        <f t="array" ref="F120">IF(A120=0," ",INDEX(Master_Sheet!J:J,MATCH(A120,Master_Sheet!A:A,0)))</f>
        <v xml:space="preserve"> </v>
      </c>
      <c r="G120" t="str" cm="1">
        <f t="array" ref="G120">IF(A120=0,"",INDEX(Master_Sheet!G:G,MATCH(A120,Master_Sheet!A:A,0)))</f>
        <v/>
      </c>
    </row>
    <row r="121" spans="1:7">
      <c r="A121">
        <f>IF(ISBLANK(Initial_entry!A120),,Initial_entry!A120)</f>
        <v>0</v>
      </c>
      <c r="B121" t="str">
        <f>IF(ISBLANK(Initial_entry!B120),"",Initial_entry!B120)</f>
        <v/>
      </c>
      <c r="C121" t="str">
        <f>IF(ISBLANK(Initial_entry!C120),"",Initial_entry!C120)</f>
        <v/>
      </c>
      <c r="D121" t="str" cm="1">
        <f t="array" ref="D121">IF(A121=0,"",INDEX(Master_Sheet!K:K,MATCH(A121,Master_Sheet!A:A,0)))</f>
        <v/>
      </c>
      <c r="E121" t="str" cm="1">
        <f t="array" ref="E121">IF(A121=0,"",INDEX(Master_Sheet!L:L,MATCH(A121,Master_Sheet!A:A,0)))</f>
        <v/>
      </c>
      <c r="F121" t="str" cm="1">
        <f t="array" ref="F121">IF(A121=0," ",INDEX(Master_Sheet!J:J,MATCH(A121,Master_Sheet!A:A,0)))</f>
        <v xml:space="preserve"> </v>
      </c>
      <c r="G121" t="str" cm="1">
        <f t="array" ref="G121">IF(A121=0,"",INDEX(Master_Sheet!G:G,MATCH(A121,Master_Sheet!A:A,0)))</f>
        <v/>
      </c>
    </row>
    <row r="122" spans="1:7">
      <c r="A122">
        <f>IF(ISBLANK(Initial_entry!A121),,Initial_entry!A121)</f>
        <v>0</v>
      </c>
      <c r="B122" t="str">
        <f>IF(ISBLANK(Initial_entry!B121),"",Initial_entry!B121)</f>
        <v/>
      </c>
      <c r="C122" t="str">
        <f>IF(ISBLANK(Initial_entry!C121),"",Initial_entry!C121)</f>
        <v/>
      </c>
      <c r="D122" t="str" cm="1">
        <f t="array" ref="D122">IF(A122=0,"",INDEX(Master_Sheet!K:K,MATCH(A122,Master_Sheet!A:A,0)))</f>
        <v/>
      </c>
      <c r="E122" t="str" cm="1">
        <f t="array" ref="E122">IF(A122=0,"",INDEX(Master_Sheet!L:L,MATCH(A122,Master_Sheet!A:A,0)))</f>
        <v/>
      </c>
      <c r="F122" t="str" cm="1">
        <f t="array" ref="F122">IF(A122=0," ",INDEX(Master_Sheet!J:J,MATCH(A122,Master_Sheet!A:A,0)))</f>
        <v xml:space="preserve"> </v>
      </c>
      <c r="G122" t="str" cm="1">
        <f t="array" ref="G122">IF(A122=0,"",INDEX(Master_Sheet!G:G,MATCH(A122,Master_Sheet!A:A,0)))</f>
        <v/>
      </c>
    </row>
    <row r="123" spans="1:7">
      <c r="A123">
        <f>IF(ISBLANK(Initial_entry!A122),,Initial_entry!A122)</f>
        <v>0</v>
      </c>
      <c r="B123" t="str">
        <f>IF(ISBLANK(Initial_entry!B122),"",Initial_entry!B122)</f>
        <v/>
      </c>
      <c r="C123" t="str">
        <f>IF(ISBLANK(Initial_entry!C122),"",Initial_entry!C122)</f>
        <v/>
      </c>
      <c r="D123" t="str" cm="1">
        <f t="array" ref="D123">IF(A123=0,"",INDEX(Master_Sheet!K:K,MATCH(A123,Master_Sheet!A:A,0)))</f>
        <v/>
      </c>
      <c r="E123" t="str" cm="1">
        <f t="array" ref="E123">IF(A123=0,"",INDEX(Master_Sheet!L:L,MATCH(A123,Master_Sheet!A:A,0)))</f>
        <v/>
      </c>
      <c r="F123" t="str" cm="1">
        <f t="array" ref="F123">IF(A123=0," ",INDEX(Master_Sheet!J:J,MATCH(A123,Master_Sheet!A:A,0)))</f>
        <v xml:space="preserve"> </v>
      </c>
      <c r="G123" t="str" cm="1">
        <f t="array" ref="G123">IF(A123=0,"",INDEX(Master_Sheet!G:G,MATCH(A123,Master_Sheet!A:A,0)))</f>
        <v/>
      </c>
    </row>
    <row r="124" spans="1:7">
      <c r="A124">
        <f>IF(ISBLANK(Initial_entry!A123),,Initial_entry!A123)</f>
        <v>0</v>
      </c>
      <c r="B124" t="str">
        <f>IF(ISBLANK(Initial_entry!B123),"",Initial_entry!B123)</f>
        <v/>
      </c>
      <c r="C124" t="str">
        <f>IF(ISBLANK(Initial_entry!C123),"",Initial_entry!C123)</f>
        <v/>
      </c>
      <c r="D124" t="str" cm="1">
        <f t="array" ref="D124">IF(A124=0,"",INDEX(Master_Sheet!K:K,MATCH(A124,Master_Sheet!A:A,0)))</f>
        <v/>
      </c>
      <c r="E124" t="str" cm="1">
        <f t="array" ref="E124">IF(A124=0,"",INDEX(Master_Sheet!L:L,MATCH(A124,Master_Sheet!A:A,0)))</f>
        <v/>
      </c>
      <c r="F124" t="str" cm="1">
        <f t="array" ref="F124">IF(A124=0," ",INDEX(Master_Sheet!J:J,MATCH(A124,Master_Sheet!A:A,0)))</f>
        <v xml:space="preserve"> </v>
      </c>
      <c r="G124" t="str" cm="1">
        <f t="array" ref="G124">IF(A124=0,"",INDEX(Master_Sheet!G:G,MATCH(A124,Master_Sheet!A:A,0)))</f>
        <v/>
      </c>
    </row>
    <row r="125" spans="1:7">
      <c r="A125">
        <f>IF(ISBLANK(Initial_entry!A124),,Initial_entry!A124)</f>
        <v>0</v>
      </c>
      <c r="B125" t="str">
        <f>IF(ISBLANK(Initial_entry!B124),"",Initial_entry!B124)</f>
        <v/>
      </c>
      <c r="C125" t="str">
        <f>IF(ISBLANK(Initial_entry!C124),"",Initial_entry!C124)</f>
        <v/>
      </c>
      <c r="D125" t="str" cm="1">
        <f t="array" ref="D125">IF(A125=0,"",INDEX(Master_Sheet!K:K,MATCH(A125,Master_Sheet!A:A,0)))</f>
        <v/>
      </c>
      <c r="E125" t="str" cm="1">
        <f t="array" ref="E125">IF(A125=0,"",INDEX(Master_Sheet!L:L,MATCH(A125,Master_Sheet!A:A,0)))</f>
        <v/>
      </c>
      <c r="F125" t="str" cm="1">
        <f t="array" ref="F125">IF(A125=0," ",INDEX(Master_Sheet!J:J,MATCH(A125,Master_Sheet!A:A,0)))</f>
        <v xml:space="preserve"> </v>
      </c>
      <c r="G125" t="str" cm="1">
        <f t="array" ref="G125">IF(A125=0,"",INDEX(Master_Sheet!G:G,MATCH(A125,Master_Sheet!A:A,0)))</f>
        <v/>
      </c>
    </row>
    <row r="126" spans="1:7">
      <c r="A126">
        <f>IF(ISBLANK(Initial_entry!A125),,Initial_entry!A125)</f>
        <v>0</v>
      </c>
      <c r="B126" t="str">
        <f>IF(ISBLANK(Initial_entry!B125),"",Initial_entry!B125)</f>
        <v/>
      </c>
      <c r="C126" t="str">
        <f>IF(ISBLANK(Initial_entry!C125),"",Initial_entry!C125)</f>
        <v/>
      </c>
      <c r="D126" t="str" cm="1">
        <f t="array" ref="D126">IF(A126=0,"",INDEX(Master_Sheet!K:K,MATCH(A126,Master_Sheet!A:A,0)))</f>
        <v/>
      </c>
      <c r="E126" t="str" cm="1">
        <f t="array" ref="E126">IF(A126=0,"",INDEX(Master_Sheet!L:L,MATCH(A126,Master_Sheet!A:A,0)))</f>
        <v/>
      </c>
      <c r="F126" t="str" cm="1">
        <f t="array" ref="F126">IF(A126=0," ",INDEX(Master_Sheet!J:J,MATCH(A126,Master_Sheet!A:A,0)))</f>
        <v xml:space="preserve"> </v>
      </c>
      <c r="G126" t="str" cm="1">
        <f t="array" ref="G126">IF(A126=0,"",INDEX(Master_Sheet!G:G,MATCH(A126,Master_Sheet!A:A,0)))</f>
        <v/>
      </c>
    </row>
    <row r="127" spans="1:7">
      <c r="A127">
        <f>IF(ISBLANK(Initial_entry!A126),,Initial_entry!A126)</f>
        <v>0</v>
      </c>
      <c r="B127" t="str">
        <f>IF(ISBLANK(Initial_entry!B126),"",Initial_entry!B126)</f>
        <v/>
      </c>
      <c r="C127" t="str">
        <f>IF(ISBLANK(Initial_entry!C126),"",Initial_entry!C126)</f>
        <v/>
      </c>
      <c r="D127" t="str" cm="1">
        <f t="array" ref="D127">IF(A127=0,"",INDEX(Master_Sheet!K:K,MATCH(A127,Master_Sheet!A:A,0)))</f>
        <v/>
      </c>
      <c r="E127" t="str" cm="1">
        <f t="array" ref="E127">IF(A127=0,"",INDEX(Master_Sheet!L:L,MATCH(A127,Master_Sheet!A:A,0)))</f>
        <v/>
      </c>
      <c r="F127" t="str" cm="1">
        <f t="array" ref="F127">IF(A127=0," ",INDEX(Master_Sheet!J:J,MATCH(A127,Master_Sheet!A:A,0)))</f>
        <v xml:space="preserve"> </v>
      </c>
      <c r="G127" t="str" cm="1">
        <f t="array" ref="G127">IF(A127=0,"",INDEX(Master_Sheet!G:G,MATCH(A127,Master_Sheet!A:A,0)))</f>
        <v/>
      </c>
    </row>
    <row r="128" spans="1:7">
      <c r="A128">
        <f>IF(ISBLANK(Initial_entry!A127),,Initial_entry!A127)</f>
        <v>0</v>
      </c>
      <c r="B128" t="str">
        <f>IF(ISBLANK(Initial_entry!B127),"",Initial_entry!B127)</f>
        <v/>
      </c>
      <c r="C128" t="str">
        <f>IF(ISBLANK(Initial_entry!C127),"",Initial_entry!C127)</f>
        <v/>
      </c>
      <c r="D128" t="str" cm="1">
        <f t="array" ref="D128">IF(A128=0,"",INDEX(Master_Sheet!K:K,MATCH(A128,Master_Sheet!A:A,0)))</f>
        <v/>
      </c>
      <c r="E128" t="str" cm="1">
        <f t="array" ref="E128">IF(A128=0,"",INDEX(Master_Sheet!L:L,MATCH(A128,Master_Sheet!A:A,0)))</f>
        <v/>
      </c>
      <c r="F128" t="str" cm="1">
        <f t="array" ref="F128">IF(A128=0," ",INDEX(Master_Sheet!J:J,MATCH(A128,Master_Sheet!A:A,0)))</f>
        <v xml:space="preserve"> </v>
      </c>
      <c r="G128" t="str" cm="1">
        <f t="array" ref="G128">IF(A128=0,"",INDEX(Master_Sheet!G:G,MATCH(A128,Master_Sheet!A:A,0)))</f>
        <v/>
      </c>
    </row>
    <row r="129" spans="1:7">
      <c r="A129">
        <f>IF(ISBLANK(Initial_entry!A128),,Initial_entry!A128)</f>
        <v>0</v>
      </c>
      <c r="B129" t="str">
        <f>IF(ISBLANK(Initial_entry!B128),"",Initial_entry!B128)</f>
        <v/>
      </c>
      <c r="C129" t="str">
        <f>IF(ISBLANK(Initial_entry!C128),"",Initial_entry!C128)</f>
        <v/>
      </c>
      <c r="D129" t="str" cm="1">
        <f t="array" ref="D129">IF(A129=0,"",INDEX(Master_Sheet!K:K,MATCH(A129,Master_Sheet!A:A,0)))</f>
        <v/>
      </c>
      <c r="E129" t="str" cm="1">
        <f t="array" ref="E129">IF(A129=0,"",INDEX(Master_Sheet!L:L,MATCH(A129,Master_Sheet!A:A,0)))</f>
        <v/>
      </c>
      <c r="F129" t="str" cm="1">
        <f t="array" ref="F129">IF(A129=0," ",INDEX(Master_Sheet!J:J,MATCH(A129,Master_Sheet!A:A,0)))</f>
        <v xml:space="preserve"> </v>
      </c>
      <c r="G129" t="str" cm="1">
        <f t="array" ref="G129">IF(A129=0,"",INDEX(Master_Sheet!G:G,MATCH(A129,Master_Sheet!A:A,0)))</f>
        <v/>
      </c>
    </row>
    <row r="130" spans="1:7">
      <c r="A130">
        <f>IF(ISBLANK(Initial_entry!A129),,Initial_entry!A129)</f>
        <v>0</v>
      </c>
      <c r="B130" t="str">
        <f>IF(ISBLANK(Initial_entry!B129),"",Initial_entry!B129)</f>
        <v/>
      </c>
      <c r="C130" t="str">
        <f>IF(ISBLANK(Initial_entry!C129),"",Initial_entry!C129)</f>
        <v/>
      </c>
      <c r="D130" t="str" cm="1">
        <f t="array" ref="D130">IF(A130=0,"",INDEX(Master_Sheet!K:K,MATCH(A130,Master_Sheet!A:A,0)))</f>
        <v/>
      </c>
      <c r="E130" t="str" cm="1">
        <f t="array" ref="E130">IF(A130=0,"",INDEX(Master_Sheet!L:L,MATCH(A130,Master_Sheet!A:A,0)))</f>
        <v/>
      </c>
      <c r="F130" t="str" cm="1">
        <f t="array" ref="F130">IF(A130=0," ",INDEX(Master_Sheet!J:J,MATCH(A130,Master_Sheet!A:A,0)))</f>
        <v xml:space="preserve"> </v>
      </c>
      <c r="G130" t="str" cm="1">
        <f t="array" ref="G130">IF(A130=0,"",INDEX(Master_Sheet!G:G,MATCH(A130,Master_Sheet!A:A,0)))</f>
        <v/>
      </c>
    </row>
    <row r="131" spans="1:7">
      <c r="A131">
        <f>IF(ISBLANK(Initial_entry!A130),,Initial_entry!A130)</f>
        <v>0</v>
      </c>
      <c r="B131" t="str">
        <f>IF(ISBLANK(Initial_entry!B130),"",Initial_entry!B130)</f>
        <v/>
      </c>
      <c r="C131" t="str">
        <f>IF(ISBLANK(Initial_entry!C130),"",Initial_entry!C130)</f>
        <v/>
      </c>
      <c r="D131" t="str" cm="1">
        <f t="array" ref="D131">IF(A131=0,"",INDEX(Master_Sheet!K:K,MATCH(A131,Master_Sheet!A:A,0)))</f>
        <v/>
      </c>
      <c r="E131" t="str" cm="1">
        <f t="array" ref="E131">IF(A131=0,"",INDEX(Master_Sheet!L:L,MATCH(A131,Master_Sheet!A:A,0)))</f>
        <v/>
      </c>
      <c r="F131" t="str" cm="1">
        <f t="array" ref="F131">IF(A131=0," ",INDEX(Master_Sheet!J:J,MATCH(A131,Master_Sheet!A:A,0)))</f>
        <v xml:space="preserve"> </v>
      </c>
      <c r="G131" t="str" cm="1">
        <f t="array" ref="G131">IF(A131=0,"",INDEX(Master_Sheet!G:G,MATCH(A131,Master_Sheet!A:A,0)))</f>
        <v/>
      </c>
    </row>
    <row r="132" spans="1:7">
      <c r="A132">
        <f>IF(ISBLANK(Initial_entry!A131),,Initial_entry!A131)</f>
        <v>0</v>
      </c>
      <c r="B132" t="str">
        <f>IF(ISBLANK(Initial_entry!B131),"",Initial_entry!B131)</f>
        <v/>
      </c>
      <c r="C132" t="str">
        <f>IF(ISBLANK(Initial_entry!C131),"",Initial_entry!C131)</f>
        <v/>
      </c>
      <c r="D132" t="str" cm="1">
        <f t="array" ref="D132">IF(A132=0,"",INDEX(Master_Sheet!K:K,MATCH(A132,Master_Sheet!A:A,0)))</f>
        <v/>
      </c>
      <c r="E132" t="str" cm="1">
        <f t="array" ref="E132">IF(A132=0,"",INDEX(Master_Sheet!L:L,MATCH(A132,Master_Sheet!A:A,0)))</f>
        <v/>
      </c>
      <c r="F132" t="str" cm="1">
        <f t="array" ref="F132">IF(A132=0," ",INDEX(Master_Sheet!J:J,MATCH(A132,Master_Sheet!A:A,0)))</f>
        <v xml:space="preserve"> </v>
      </c>
      <c r="G132" t="str" cm="1">
        <f t="array" ref="G132">IF(A132=0,"",INDEX(Master_Sheet!G:G,MATCH(A132,Master_Sheet!A:A,0)))</f>
        <v/>
      </c>
    </row>
    <row r="133" spans="1:7">
      <c r="A133">
        <f>IF(ISBLANK(Initial_entry!A132),,Initial_entry!A132)</f>
        <v>0</v>
      </c>
      <c r="B133" t="str">
        <f>IF(ISBLANK(Initial_entry!B132),"",Initial_entry!B132)</f>
        <v/>
      </c>
      <c r="C133" t="str">
        <f>IF(ISBLANK(Initial_entry!C132),"",Initial_entry!C132)</f>
        <v/>
      </c>
      <c r="D133" t="str" cm="1">
        <f t="array" ref="D133">IF(A133=0,"",INDEX(Master_Sheet!K:K,MATCH(A133,Master_Sheet!A:A,0)))</f>
        <v/>
      </c>
      <c r="E133" t="str" cm="1">
        <f t="array" ref="E133">IF(A133=0,"",INDEX(Master_Sheet!L:L,MATCH(A133,Master_Sheet!A:A,0)))</f>
        <v/>
      </c>
      <c r="F133" t="str" cm="1">
        <f t="array" ref="F133">IF(A133=0," ",INDEX(Master_Sheet!J:J,MATCH(A133,Master_Sheet!A:A,0)))</f>
        <v xml:space="preserve"> </v>
      </c>
      <c r="G133" t="str" cm="1">
        <f t="array" ref="G133">IF(A133=0,"",INDEX(Master_Sheet!G:G,MATCH(A133,Master_Sheet!A:A,0)))</f>
        <v/>
      </c>
    </row>
    <row r="134" spans="1:7">
      <c r="A134">
        <f>IF(ISBLANK(Initial_entry!A133),,Initial_entry!A133)</f>
        <v>0</v>
      </c>
      <c r="B134" t="str">
        <f>IF(ISBLANK(Initial_entry!B133),"",Initial_entry!B133)</f>
        <v/>
      </c>
      <c r="C134" t="str">
        <f>IF(ISBLANK(Initial_entry!C133),"",Initial_entry!C133)</f>
        <v/>
      </c>
      <c r="D134" t="str" cm="1">
        <f t="array" ref="D134">IF(A134=0,"",INDEX(Master_Sheet!K:K,MATCH(A134,Master_Sheet!A:A,0)))</f>
        <v/>
      </c>
      <c r="E134" t="str" cm="1">
        <f t="array" ref="E134">IF(A134=0,"",INDEX(Master_Sheet!L:L,MATCH(A134,Master_Sheet!A:A,0)))</f>
        <v/>
      </c>
      <c r="F134" t="str" cm="1">
        <f t="array" ref="F134">IF(A134=0," ",INDEX(Master_Sheet!J:J,MATCH(A134,Master_Sheet!A:A,0)))</f>
        <v xml:space="preserve"> </v>
      </c>
      <c r="G134" t="str" cm="1">
        <f t="array" ref="G134">IF(A134=0,"",INDEX(Master_Sheet!G:G,MATCH(A134,Master_Sheet!A:A,0)))</f>
        <v/>
      </c>
    </row>
    <row r="135" spans="1:7">
      <c r="A135">
        <f>IF(ISBLANK(Initial_entry!A134),,Initial_entry!A134)</f>
        <v>0</v>
      </c>
      <c r="B135" t="str">
        <f>IF(ISBLANK(Initial_entry!B134),"",Initial_entry!B134)</f>
        <v/>
      </c>
      <c r="C135" t="str">
        <f>IF(ISBLANK(Initial_entry!C134),"",Initial_entry!C134)</f>
        <v/>
      </c>
      <c r="D135" t="str" cm="1">
        <f t="array" ref="D135">IF(A135=0,"",INDEX(Master_Sheet!K:K,MATCH(A135,Master_Sheet!A:A,0)))</f>
        <v/>
      </c>
      <c r="E135" t="str" cm="1">
        <f t="array" ref="E135">IF(A135=0,"",INDEX(Master_Sheet!L:L,MATCH(A135,Master_Sheet!A:A,0)))</f>
        <v/>
      </c>
      <c r="F135" t="str" cm="1">
        <f t="array" ref="F135">IF(A135=0," ",INDEX(Master_Sheet!J:J,MATCH(A135,Master_Sheet!A:A,0)))</f>
        <v xml:space="preserve"> </v>
      </c>
      <c r="G135" t="str" cm="1">
        <f t="array" ref="G135">IF(A135=0,"",INDEX(Master_Sheet!G:G,MATCH(A135,Master_Sheet!A:A,0)))</f>
        <v/>
      </c>
    </row>
    <row r="136" spans="1:7">
      <c r="A136">
        <f>IF(ISBLANK(Initial_entry!A135),,Initial_entry!A135)</f>
        <v>0</v>
      </c>
      <c r="B136" t="str">
        <f>IF(ISBLANK(Initial_entry!B135),"",Initial_entry!B135)</f>
        <v/>
      </c>
      <c r="C136" t="str">
        <f>IF(ISBLANK(Initial_entry!C135),"",Initial_entry!C135)</f>
        <v/>
      </c>
      <c r="D136" t="str" cm="1">
        <f t="array" ref="D136">IF(A136=0,"",INDEX(Master_Sheet!K:K,MATCH(A136,Master_Sheet!A:A,0)))</f>
        <v/>
      </c>
      <c r="E136" t="str" cm="1">
        <f t="array" ref="E136">IF(A136=0,"",INDEX(Master_Sheet!L:L,MATCH(A136,Master_Sheet!A:A,0)))</f>
        <v/>
      </c>
      <c r="F136" t="str" cm="1">
        <f t="array" ref="F136">IF(A136=0," ",INDEX(Master_Sheet!J:J,MATCH(A136,Master_Sheet!A:A,0)))</f>
        <v xml:space="preserve"> </v>
      </c>
      <c r="G136" t="str" cm="1">
        <f t="array" ref="G136">IF(A136=0,"",INDEX(Master_Sheet!G:G,MATCH(A136,Master_Sheet!A:A,0)))</f>
        <v/>
      </c>
    </row>
    <row r="137" spans="1:7">
      <c r="A137">
        <f>IF(ISBLANK(Initial_entry!A136),,Initial_entry!A136)</f>
        <v>0</v>
      </c>
      <c r="B137" t="str">
        <f>IF(ISBLANK(Initial_entry!B136),"",Initial_entry!B136)</f>
        <v/>
      </c>
      <c r="C137" t="str">
        <f>IF(ISBLANK(Initial_entry!C136),"",Initial_entry!C136)</f>
        <v/>
      </c>
      <c r="D137" t="str" cm="1">
        <f t="array" ref="D137">IF(A137=0,"",INDEX(Master_Sheet!K:K,MATCH(A137,Master_Sheet!A:A,0)))</f>
        <v/>
      </c>
      <c r="E137" t="str" cm="1">
        <f t="array" ref="E137">IF(A137=0,"",INDEX(Master_Sheet!L:L,MATCH(A137,Master_Sheet!A:A,0)))</f>
        <v/>
      </c>
      <c r="F137" t="str" cm="1">
        <f t="array" ref="F137">IF(A137=0," ",INDEX(Master_Sheet!J:J,MATCH(A137,Master_Sheet!A:A,0)))</f>
        <v xml:space="preserve"> </v>
      </c>
      <c r="G137" t="str" cm="1">
        <f t="array" ref="G137">IF(A137=0,"",INDEX(Master_Sheet!G:G,MATCH(A137,Master_Sheet!A:A,0)))</f>
        <v/>
      </c>
    </row>
    <row r="138" spans="1:7">
      <c r="A138">
        <f>IF(ISBLANK(Initial_entry!A137),,Initial_entry!A137)</f>
        <v>0</v>
      </c>
      <c r="B138" t="str">
        <f>IF(ISBLANK(Initial_entry!B137),"",Initial_entry!B137)</f>
        <v/>
      </c>
      <c r="C138" t="str">
        <f>IF(ISBLANK(Initial_entry!C137),"",Initial_entry!C137)</f>
        <v/>
      </c>
      <c r="D138" t="str" cm="1">
        <f t="array" ref="D138">IF(A138=0,"",INDEX(Master_Sheet!K:K,MATCH(A138,Master_Sheet!A:A,0)))</f>
        <v/>
      </c>
      <c r="E138" t="str" cm="1">
        <f t="array" ref="E138">IF(A138=0,"",INDEX(Master_Sheet!L:L,MATCH(A138,Master_Sheet!A:A,0)))</f>
        <v/>
      </c>
      <c r="F138" t="str" cm="1">
        <f t="array" ref="F138">IF(A138=0," ",INDEX(Master_Sheet!J:J,MATCH(A138,Master_Sheet!A:A,0)))</f>
        <v xml:space="preserve"> </v>
      </c>
      <c r="G138" t="str" cm="1">
        <f t="array" ref="G138">IF(A138=0,"",INDEX(Master_Sheet!G:G,MATCH(A138,Master_Sheet!A:A,0)))</f>
        <v/>
      </c>
    </row>
    <row r="139" spans="1:7">
      <c r="A139">
        <f>IF(ISBLANK(Initial_entry!A138),,Initial_entry!A138)</f>
        <v>0</v>
      </c>
      <c r="B139" t="str">
        <f>IF(ISBLANK(Initial_entry!B138),"",Initial_entry!B138)</f>
        <v/>
      </c>
      <c r="C139" t="str">
        <f>IF(ISBLANK(Initial_entry!C138),"",Initial_entry!C138)</f>
        <v/>
      </c>
      <c r="D139" t="str" cm="1">
        <f t="array" ref="D139">IF(A139=0,"",INDEX(Master_Sheet!K:K,MATCH(A139,Master_Sheet!A:A,0)))</f>
        <v/>
      </c>
      <c r="E139" t="str" cm="1">
        <f t="array" ref="E139">IF(A139=0,"",INDEX(Master_Sheet!L:L,MATCH(A139,Master_Sheet!A:A,0)))</f>
        <v/>
      </c>
      <c r="F139" t="str" cm="1">
        <f t="array" ref="F139">IF(A139=0," ",INDEX(Master_Sheet!J:J,MATCH(A139,Master_Sheet!A:A,0)))</f>
        <v xml:space="preserve"> </v>
      </c>
      <c r="G139" t="str" cm="1">
        <f t="array" ref="G139">IF(A139=0,"",INDEX(Master_Sheet!G:G,MATCH(A139,Master_Sheet!A:A,0)))</f>
        <v/>
      </c>
    </row>
    <row r="140" spans="1:7">
      <c r="A140">
        <f>IF(ISBLANK(Initial_entry!A139),,Initial_entry!A139)</f>
        <v>0</v>
      </c>
      <c r="B140" t="str">
        <f>IF(ISBLANK(Initial_entry!B139),"",Initial_entry!B139)</f>
        <v/>
      </c>
      <c r="C140" t="str">
        <f>IF(ISBLANK(Initial_entry!C139),"",Initial_entry!C139)</f>
        <v/>
      </c>
      <c r="D140" t="str" cm="1">
        <f t="array" ref="D140">IF(A140=0,"",INDEX(Master_Sheet!K:K,MATCH(A140,Master_Sheet!A:A,0)))</f>
        <v/>
      </c>
      <c r="E140" t="str" cm="1">
        <f t="array" ref="E140">IF(A140=0,"",INDEX(Master_Sheet!L:L,MATCH(A140,Master_Sheet!A:A,0)))</f>
        <v/>
      </c>
      <c r="F140" t="str" cm="1">
        <f t="array" ref="F140">IF(A140=0," ",INDEX(Master_Sheet!J:J,MATCH(A140,Master_Sheet!A:A,0)))</f>
        <v xml:space="preserve"> </v>
      </c>
      <c r="G140" t="str" cm="1">
        <f t="array" ref="G140">IF(A140=0,"",INDEX(Master_Sheet!G:G,MATCH(A140,Master_Sheet!A:A,0)))</f>
        <v/>
      </c>
    </row>
    <row r="141" spans="1:7">
      <c r="A141">
        <f>IF(ISBLANK(Initial_entry!A140),,Initial_entry!A140)</f>
        <v>0</v>
      </c>
      <c r="B141" t="str">
        <f>IF(ISBLANK(Initial_entry!B140),"",Initial_entry!B140)</f>
        <v/>
      </c>
      <c r="C141" t="str">
        <f>IF(ISBLANK(Initial_entry!C140),"",Initial_entry!C140)</f>
        <v/>
      </c>
      <c r="D141" t="str" cm="1">
        <f t="array" ref="D141">IF(A141=0,"",INDEX(Master_Sheet!K:K,MATCH(A141,Master_Sheet!A:A,0)))</f>
        <v/>
      </c>
      <c r="E141" t="str" cm="1">
        <f t="array" ref="E141">IF(A141=0,"",INDEX(Master_Sheet!L:L,MATCH(A141,Master_Sheet!A:A,0)))</f>
        <v/>
      </c>
      <c r="F141" t="str" cm="1">
        <f t="array" ref="F141">IF(A141=0," ",INDEX(Master_Sheet!J:J,MATCH(A141,Master_Sheet!A:A,0)))</f>
        <v xml:space="preserve"> </v>
      </c>
      <c r="G141" t="str" cm="1">
        <f t="array" ref="G141">IF(A141=0,"",INDEX(Master_Sheet!G:G,MATCH(A141,Master_Sheet!A:A,0)))</f>
        <v/>
      </c>
    </row>
    <row r="142" spans="1:7">
      <c r="A142">
        <f>IF(ISBLANK(Initial_entry!A141),,Initial_entry!A141)</f>
        <v>0</v>
      </c>
      <c r="B142" t="str">
        <f>IF(ISBLANK(Initial_entry!B141),"",Initial_entry!B141)</f>
        <v/>
      </c>
      <c r="C142" t="str">
        <f>IF(ISBLANK(Initial_entry!C141),"",Initial_entry!C141)</f>
        <v/>
      </c>
      <c r="D142" t="str" cm="1">
        <f t="array" ref="D142">IF(A142=0,"",INDEX(Master_Sheet!K:K,MATCH(A142,Master_Sheet!A:A,0)))</f>
        <v/>
      </c>
      <c r="E142" t="str" cm="1">
        <f t="array" ref="E142">IF(A142=0,"",INDEX(Master_Sheet!L:L,MATCH(A142,Master_Sheet!A:A,0)))</f>
        <v/>
      </c>
      <c r="F142" t="str" cm="1">
        <f t="array" ref="F142">IF(A142=0," ",INDEX(Master_Sheet!J:J,MATCH(A142,Master_Sheet!A:A,0)))</f>
        <v xml:space="preserve"> </v>
      </c>
      <c r="G142" t="str" cm="1">
        <f t="array" ref="G142">IF(A142=0,"",INDEX(Master_Sheet!G:G,MATCH(A142,Master_Sheet!A:A,0)))</f>
        <v/>
      </c>
    </row>
    <row r="143" spans="1:7">
      <c r="A143">
        <f>IF(ISBLANK(Initial_entry!A142),,Initial_entry!A142)</f>
        <v>0</v>
      </c>
      <c r="B143" t="str">
        <f>IF(ISBLANK(Initial_entry!B142),"",Initial_entry!B142)</f>
        <v/>
      </c>
      <c r="C143" t="str">
        <f>IF(ISBLANK(Initial_entry!C142),"",Initial_entry!C142)</f>
        <v/>
      </c>
      <c r="D143" t="str" cm="1">
        <f t="array" ref="D143">IF(A143=0,"",INDEX(Master_Sheet!K:K,MATCH(A143,Master_Sheet!A:A,0)))</f>
        <v/>
      </c>
      <c r="E143" t="str" cm="1">
        <f t="array" ref="E143">IF(A143=0,"",INDEX(Master_Sheet!L:L,MATCH(A143,Master_Sheet!A:A,0)))</f>
        <v/>
      </c>
      <c r="F143" t="str" cm="1">
        <f t="array" ref="F143">IF(A143=0," ",INDEX(Master_Sheet!J:J,MATCH(A143,Master_Sheet!A:A,0)))</f>
        <v xml:space="preserve"> </v>
      </c>
      <c r="G143" t="str" cm="1">
        <f t="array" ref="G143">IF(A143=0,"",INDEX(Master_Sheet!G:G,MATCH(A143,Master_Sheet!A:A,0)))</f>
        <v/>
      </c>
    </row>
    <row r="144" spans="1:7">
      <c r="A144">
        <f>IF(ISBLANK(Initial_entry!A143),,Initial_entry!A143)</f>
        <v>0</v>
      </c>
      <c r="B144" t="str">
        <f>IF(ISBLANK(Initial_entry!B143),"",Initial_entry!B143)</f>
        <v/>
      </c>
      <c r="C144" t="str">
        <f>IF(ISBLANK(Initial_entry!C143),"",Initial_entry!C143)</f>
        <v/>
      </c>
      <c r="D144" t="str" cm="1">
        <f t="array" ref="D144">IF(A144=0,"",INDEX(Master_Sheet!K:K,MATCH(A144,Master_Sheet!A:A,0)))</f>
        <v/>
      </c>
      <c r="E144" t="str" cm="1">
        <f t="array" ref="E144">IF(A144=0,"",INDEX(Master_Sheet!L:L,MATCH(A144,Master_Sheet!A:A,0)))</f>
        <v/>
      </c>
      <c r="F144" t="str" cm="1">
        <f t="array" ref="F144">IF(A144=0," ",INDEX(Master_Sheet!J:J,MATCH(A144,Master_Sheet!A:A,0)))</f>
        <v xml:space="preserve"> </v>
      </c>
      <c r="G144" t="str" cm="1">
        <f t="array" ref="G144">IF(A144=0,"",INDEX(Master_Sheet!G:G,MATCH(A144,Master_Sheet!A:A,0)))</f>
        <v/>
      </c>
    </row>
    <row r="145" spans="1:7">
      <c r="A145">
        <f>IF(ISBLANK(Initial_entry!A144),,Initial_entry!A144)</f>
        <v>0</v>
      </c>
      <c r="B145" t="str">
        <f>IF(ISBLANK(Initial_entry!B144),"",Initial_entry!B144)</f>
        <v/>
      </c>
      <c r="C145" t="str">
        <f>IF(ISBLANK(Initial_entry!C144),"",Initial_entry!C144)</f>
        <v/>
      </c>
      <c r="D145" t="str" cm="1">
        <f t="array" ref="D145">IF(A145=0,"",INDEX(Master_Sheet!K:K,MATCH(A145,Master_Sheet!A:A,0)))</f>
        <v/>
      </c>
      <c r="E145" t="str" cm="1">
        <f t="array" ref="E145">IF(A145=0,"",INDEX(Master_Sheet!L:L,MATCH(A145,Master_Sheet!A:A,0)))</f>
        <v/>
      </c>
      <c r="F145" t="str" cm="1">
        <f t="array" ref="F145">IF(A145=0," ",INDEX(Master_Sheet!J:J,MATCH(A145,Master_Sheet!A:A,0)))</f>
        <v xml:space="preserve"> </v>
      </c>
      <c r="G145" t="str" cm="1">
        <f t="array" ref="G145">IF(A145=0,"",INDEX(Master_Sheet!G:G,MATCH(A145,Master_Sheet!A:A,0)))</f>
        <v/>
      </c>
    </row>
    <row r="146" spans="1:7">
      <c r="A146">
        <f>IF(ISBLANK(Initial_entry!A145),,Initial_entry!A145)</f>
        <v>0</v>
      </c>
      <c r="B146" t="str">
        <f>IF(ISBLANK(Initial_entry!B145),"",Initial_entry!B145)</f>
        <v/>
      </c>
      <c r="C146" t="str">
        <f>IF(ISBLANK(Initial_entry!C145),"",Initial_entry!C145)</f>
        <v/>
      </c>
      <c r="D146" t="str" cm="1">
        <f t="array" ref="D146">IF(A146=0,"",INDEX(Master_Sheet!K:K,MATCH(A146,Master_Sheet!A:A,0)))</f>
        <v/>
      </c>
      <c r="E146" t="str" cm="1">
        <f t="array" ref="E146">IF(A146=0,"",INDEX(Master_Sheet!L:L,MATCH(A146,Master_Sheet!A:A,0)))</f>
        <v/>
      </c>
      <c r="F146" t="str" cm="1">
        <f t="array" ref="F146">IF(A146=0," ",INDEX(Master_Sheet!J:J,MATCH(A146,Master_Sheet!A:A,0)))</f>
        <v xml:space="preserve"> </v>
      </c>
      <c r="G146" t="str" cm="1">
        <f t="array" ref="G146">IF(A146=0,"",INDEX(Master_Sheet!G:G,MATCH(A146,Master_Sheet!A:A,0)))</f>
        <v/>
      </c>
    </row>
    <row r="147" spans="1:7">
      <c r="A147">
        <f>IF(ISBLANK(Initial_entry!A146),,Initial_entry!A146)</f>
        <v>0</v>
      </c>
      <c r="B147" t="str">
        <f>IF(ISBLANK(Initial_entry!B146),"",Initial_entry!B146)</f>
        <v/>
      </c>
      <c r="C147" t="str">
        <f>IF(ISBLANK(Initial_entry!C146),"",Initial_entry!C146)</f>
        <v/>
      </c>
      <c r="D147" t="str" cm="1">
        <f t="array" ref="D147">IF(A147=0,"",INDEX(Master_Sheet!K:K,MATCH(A147,Master_Sheet!A:A,0)))</f>
        <v/>
      </c>
      <c r="E147" t="str" cm="1">
        <f t="array" ref="E147">IF(A147=0,"",INDEX(Master_Sheet!L:L,MATCH(A147,Master_Sheet!A:A,0)))</f>
        <v/>
      </c>
      <c r="F147" t="str" cm="1">
        <f t="array" ref="F147">IF(A147=0," ",INDEX(Master_Sheet!J:J,MATCH(A147,Master_Sheet!A:A,0)))</f>
        <v xml:space="preserve"> </v>
      </c>
      <c r="G147" t="str" cm="1">
        <f t="array" ref="G147">IF(A147=0,"",INDEX(Master_Sheet!G:G,MATCH(A147,Master_Sheet!A:A,0)))</f>
        <v/>
      </c>
    </row>
    <row r="148" spans="1:7">
      <c r="A148">
        <f>IF(ISBLANK(Initial_entry!A147),,Initial_entry!A147)</f>
        <v>0</v>
      </c>
      <c r="B148" t="str">
        <f>IF(ISBLANK(Initial_entry!B147),"",Initial_entry!B147)</f>
        <v/>
      </c>
      <c r="C148" t="str">
        <f>IF(ISBLANK(Initial_entry!C147),"",Initial_entry!C147)</f>
        <v/>
      </c>
      <c r="D148" t="str" cm="1">
        <f t="array" ref="D148">IF(A148=0,"",INDEX(Master_Sheet!K:K,MATCH(A148,Master_Sheet!A:A,0)))</f>
        <v/>
      </c>
      <c r="E148" t="str" cm="1">
        <f t="array" ref="E148">IF(A148=0,"",INDEX(Master_Sheet!L:L,MATCH(A148,Master_Sheet!A:A,0)))</f>
        <v/>
      </c>
      <c r="F148" t="str" cm="1">
        <f t="array" ref="F148">IF(A148=0," ",INDEX(Master_Sheet!J:J,MATCH(A148,Master_Sheet!A:A,0)))</f>
        <v xml:space="preserve"> </v>
      </c>
      <c r="G148" t="str" cm="1">
        <f t="array" ref="G148">IF(A148=0,"",INDEX(Master_Sheet!G:G,MATCH(A148,Master_Sheet!A:A,0)))</f>
        <v/>
      </c>
    </row>
    <row r="149" spans="1:7">
      <c r="A149">
        <f>IF(ISBLANK(Initial_entry!A148),,Initial_entry!A148)</f>
        <v>0</v>
      </c>
      <c r="B149" t="str">
        <f>IF(ISBLANK(Initial_entry!B148),"",Initial_entry!B148)</f>
        <v/>
      </c>
      <c r="C149" t="str">
        <f>IF(ISBLANK(Initial_entry!C148),"",Initial_entry!C148)</f>
        <v/>
      </c>
      <c r="D149" t="str" cm="1">
        <f t="array" ref="D149">IF(A149=0,"",INDEX(Master_Sheet!K:K,MATCH(A149,Master_Sheet!A:A,0)))</f>
        <v/>
      </c>
      <c r="E149" t="str" cm="1">
        <f t="array" ref="E149">IF(A149=0,"",INDEX(Master_Sheet!L:L,MATCH(A149,Master_Sheet!A:A,0)))</f>
        <v/>
      </c>
      <c r="F149" t="str" cm="1">
        <f t="array" ref="F149">IF(A149=0," ",INDEX(Master_Sheet!J:J,MATCH(A149,Master_Sheet!A:A,0)))</f>
        <v xml:space="preserve"> </v>
      </c>
      <c r="G149" t="str" cm="1">
        <f t="array" ref="G149">IF(A149=0,"",INDEX(Master_Sheet!G:G,MATCH(A149,Master_Sheet!A:A,0)))</f>
        <v/>
      </c>
    </row>
    <row r="150" spans="1:7">
      <c r="A150">
        <f>IF(ISBLANK(Initial_entry!A149),,Initial_entry!A149)</f>
        <v>0</v>
      </c>
      <c r="B150" t="str">
        <f>IF(ISBLANK(Initial_entry!B149),"",Initial_entry!B149)</f>
        <v/>
      </c>
      <c r="C150" t="str">
        <f>IF(ISBLANK(Initial_entry!C149),"",Initial_entry!C149)</f>
        <v/>
      </c>
      <c r="D150" t="str" cm="1">
        <f t="array" ref="D150">IF(A150=0,"",INDEX(Master_Sheet!K:K,MATCH(A150,Master_Sheet!A:A,0)))</f>
        <v/>
      </c>
      <c r="E150" t="str" cm="1">
        <f t="array" ref="E150">IF(A150=0,"",INDEX(Master_Sheet!L:L,MATCH(A150,Master_Sheet!A:A,0)))</f>
        <v/>
      </c>
      <c r="F150" t="str" cm="1">
        <f t="array" ref="F150">IF(A150=0," ",INDEX(Master_Sheet!J:J,MATCH(A150,Master_Sheet!A:A,0)))</f>
        <v xml:space="preserve"> </v>
      </c>
      <c r="G150" t="str" cm="1">
        <f t="array" ref="G150">IF(A150=0,"",INDEX(Master_Sheet!G:G,MATCH(A150,Master_Sheet!A:A,0)))</f>
        <v/>
      </c>
    </row>
    <row r="151" spans="1:7">
      <c r="A151">
        <f>IF(ISBLANK(Initial_entry!A150),,Initial_entry!A150)</f>
        <v>0</v>
      </c>
      <c r="B151" t="str">
        <f>IF(ISBLANK(Initial_entry!B150),"",Initial_entry!B150)</f>
        <v/>
      </c>
      <c r="C151" t="str">
        <f>IF(ISBLANK(Initial_entry!C150),"",Initial_entry!C150)</f>
        <v/>
      </c>
      <c r="D151" t="str" cm="1">
        <f t="array" ref="D151">IF(A151=0,"",INDEX(Master_Sheet!K:K,MATCH(A151,Master_Sheet!A:A,0)))</f>
        <v/>
      </c>
      <c r="E151" t="str" cm="1">
        <f t="array" ref="E151">IF(A151=0,"",INDEX(Master_Sheet!L:L,MATCH(A151,Master_Sheet!A:A,0)))</f>
        <v/>
      </c>
      <c r="F151" t="str" cm="1">
        <f t="array" ref="F151">IF(A151=0," ",INDEX(Master_Sheet!J:J,MATCH(A151,Master_Sheet!A:A,0)))</f>
        <v xml:space="preserve"> </v>
      </c>
      <c r="G151" t="str" cm="1">
        <f t="array" ref="G151">IF(A151=0,"",INDEX(Master_Sheet!G:G,MATCH(A151,Master_Sheet!A:A,0)))</f>
        <v/>
      </c>
    </row>
    <row r="152" spans="1:7">
      <c r="A152">
        <f>IF(ISBLANK(Initial_entry!A151),,Initial_entry!A151)</f>
        <v>0</v>
      </c>
      <c r="B152" t="str">
        <f>IF(ISBLANK(Initial_entry!B151),"",Initial_entry!B151)</f>
        <v/>
      </c>
      <c r="C152" t="str">
        <f>IF(ISBLANK(Initial_entry!C151),"",Initial_entry!C151)</f>
        <v/>
      </c>
      <c r="D152" t="str" cm="1">
        <f t="array" ref="D152">IF(A152=0,"",INDEX(Master_Sheet!K:K,MATCH(A152,Master_Sheet!A:A,0)))</f>
        <v/>
      </c>
      <c r="E152" t="str" cm="1">
        <f t="array" ref="E152">IF(A152=0,"",INDEX(Master_Sheet!L:L,MATCH(A152,Master_Sheet!A:A,0)))</f>
        <v/>
      </c>
      <c r="F152" t="str" cm="1">
        <f t="array" ref="F152">IF(A152=0," ",INDEX(Master_Sheet!J:J,MATCH(A152,Master_Sheet!A:A,0)))</f>
        <v xml:space="preserve"> </v>
      </c>
      <c r="G152" t="str" cm="1">
        <f t="array" ref="G152">IF(A152=0,"",INDEX(Master_Sheet!G:G,MATCH(A152,Master_Sheet!A:A,0)))</f>
        <v/>
      </c>
    </row>
    <row r="153" spans="1:7">
      <c r="A153">
        <f>IF(ISBLANK(Initial_entry!A152),,Initial_entry!A152)</f>
        <v>0</v>
      </c>
      <c r="B153" t="str">
        <f>IF(ISBLANK(Initial_entry!B152),"",Initial_entry!B152)</f>
        <v/>
      </c>
      <c r="C153" t="str">
        <f>IF(ISBLANK(Initial_entry!C152),"",Initial_entry!C152)</f>
        <v/>
      </c>
      <c r="D153" t="str" cm="1">
        <f t="array" ref="D153">IF(A153=0,"",INDEX(Master_Sheet!K:K,MATCH(A153,Master_Sheet!A:A,0)))</f>
        <v/>
      </c>
      <c r="E153" t="str" cm="1">
        <f t="array" ref="E153">IF(A153=0,"",INDEX(Master_Sheet!L:L,MATCH(A153,Master_Sheet!A:A,0)))</f>
        <v/>
      </c>
      <c r="F153" t="str" cm="1">
        <f t="array" ref="F153">IF(A153=0," ",INDEX(Master_Sheet!J:J,MATCH(A153,Master_Sheet!A:A,0)))</f>
        <v xml:space="preserve"> </v>
      </c>
      <c r="G153" t="str" cm="1">
        <f t="array" ref="G153">IF(A153=0,"",INDEX(Master_Sheet!G:G,MATCH(A153,Master_Sheet!A:A,0)))</f>
        <v/>
      </c>
    </row>
    <row r="154" spans="1:7">
      <c r="A154">
        <f>IF(ISBLANK(Initial_entry!A153),,Initial_entry!A153)</f>
        <v>0</v>
      </c>
      <c r="B154" t="str">
        <f>IF(ISBLANK(Initial_entry!B153),"",Initial_entry!B153)</f>
        <v/>
      </c>
      <c r="C154" t="str">
        <f>IF(ISBLANK(Initial_entry!C153),"",Initial_entry!C153)</f>
        <v/>
      </c>
      <c r="D154" t="str" cm="1">
        <f t="array" ref="D154">IF(A154=0,"",INDEX(Master_Sheet!K:K,MATCH(A154,Master_Sheet!A:A,0)))</f>
        <v/>
      </c>
      <c r="E154" t="str" cm="1">
        <f t="array" ref="E154">IF(A154=0,"",INDEX(Master_Sheet!L:L,MATCH(A154,Master_Sheet!A:A,0)))</f>
        <v/>
      </c>
      <c r="F154" t="str" cm="1">
        <f t="array" ref="F154">IF(A154=0," ",INDEX(Master_Sheet!J:J,MATCH(A154,Master_Sheet!A:A,0)))</f>
        <v xml:space="preserve"> </v>
      </c>
      <c r="G154" t="str" cm="1">
        <f t="array" ref="G154">IF(A154=0,"",INDEX(Master_Sheet!G:G,MATCH(A154,Master_Sheet!A:A,0)))</f>
        <v/>
      </c>
    </row>
    <row r="155" spans="1:7">
      <c r="A155">
        <f>IF(ISBLANK(Initial_entry!A154),,Initial_entry!A154)</f>
        <v>0</v>
      </c>
      <c r="B155" t="str">
        <f>IF(ISBLANK(Initial_entry!B154),"",Initial_entry!B154)</f>
        <v/>
      </c>
      <c r="C155" t="str">
        <f>IF(ISBLANK(Initial_entry!C154),"",Initial_entry!C154)</f>
        <v/>
      </c>
      <c r="D155" t="str" cm="1">
        <f t="array" ref="D155">IF(A155=0,"",INDEX(Master_Sheet!K:K,MATCH(A155,Master_Sheet!A:A,0)))</f>
        <v/>
      </c>
      <c r="E155" t="str" cm="1">
        <f t="array" ref="E155">IF(A155=0,"",INDEX(Master_Sheet!L:L,MATCH(A155,Master_Sheet!A:A,0)))</f>
        <v/>
      </c>
      <c r="F155" t="str" cm="1">
        <f t="array" ref="F155">IF(A155=0," ",INDEX(Master_Sheet!J:J,MATCH(A155,Master_Sheet!A:A,0)))</f>
        <v xml:space="preserve"> </v>
      </c>
      <c r="G155" t="str" cm="1">
        <f t="array" ref="G155">IF(A155=0,"",INDEX(Master_Sheet!G:G,MATCH(A155,Master_Sheet!A:A,0)))</f>
        <v/>
      </c>
    </row>
    <row r="156" spans="1:7">
      <c r="A156">
        <f>IF(ISBLANK(Initial_entry!A155),,Initial_entry!A155)</f>
        <v>0</v>
      </c>
      <c r="B156" t="str">
        <f>IF(ISBLANK(Initial_entry!B155),"",Initial_entry!B155)</f>
        <v/>
      </c>
      <c r="C156" t="str">
        <f>IF(ISBLANK(Initial_entry!C155),"",Initial_entry!C155)</f>
        <v/>
      </c>
      <c r="D156" t="str" cm="1">
        <f t="array" ref="D156">IF(A156=0,"",INDEX(Master_Sheet!K:K,MATCH(A156,Master_Sheet!A:A,0)))</f>
        <v/>
      </c>
      <c r="E156" t="str" cm="1">
        <f t="array" ref="E156">IF(A156=0,"",INDEX(Master_Sheet!L:L,MATCH(A156,Master_Sheet!A:A,0)))</f>
        <v/>
      </c>
      <c r="F156" t="str" cm="1">
        <f t="array" ref="F156">IF(A156=0," ",INDEX(Master_Sheet!J:J,MATCH(A156,Master_Sheet!A:A,0)))</f>
        <v xml:space="preserve"> </v>
      </c>
      <c r="G156" t="str" cm="1">
        <f t="array" ref="G156">IF(A156=0,"",INDEX(Master_Sheet!G:G,MATCH(A156,Master_Sheet!A:A,0)))</f>
        <v/>
      </c>
    </row>
    <row r="157" spans="1:7">
      <c r="A157">
        <f>IF(ISBLANK(Initial_entry!A156),,Initial_entry!A156)</f>
        <v>0</v>
      </c>
      <c r="B157" t="str">
        <f>IF(ISBLANK(Initial_entry!B156),"",Initial_entry!B156)</f>
        <v/>
      </c>
      <c r="C157" t="str">
        <f>IF(ISBLANK(Initial_entry!C156),"",Initial_entry!C156)</f>
        <v/>
      </c>
      <c r="D157" t="str" cm="1">
        <f t="array" ref="D157">IF(A157=0,"",INDEX(Master_Sheet!K:K,MATCH(A157,Master_Sheet!A:A,0)))</f>
        <v/>
      </c>
      <c r="E157" t="str" cm="1">
        <f t="array" ref="E157">IF(A157=0,"",INDEX(Master_Sheet!L:L,MATCH(A157,Master_Sheet!A:A,0)))</f>
        <v/>
      </c>
      <c r="F157" t="str" cm="1">
        <f t="array" ref="F157">IF(A157=0," ",INDEX(Master_Sheet!J:J,MATCH(A157,Master_Sheet!A:A,0)))</f>
        <v xml:space="preserve"> </v>
      </c>
      <c r="G157" t="str" cm="1">
        <f t="array" ref="G157">IF(A157=0,"",INDEX(Master_Sheet!G:G,MATCH(A157,Master_Sheet!A:A,0)))</f>
        <v/>
      </c>
    </row>
    <row r="158" spans="1:7">
      <c r="A158">
        <f>IF(ISBLANK(Initial_entry!A157),,Initial_entry!A157)</f>
        <v>0</v>
      </c>
      <c r="B158" t="str">
        <f>IF(ISBLANK(Initial_entry!B157),"",Initial_entry!B157)</f>
        <v/>
      </c>
      <c r="C158" t="str">
        <f>IF(ISBLANK(Initial_entry!C157),"",Initial_entry!C157)</f>
        <v/>
      </c>
      <c r="D158" t="str" cm="1">
        <f t="array" ref="D158">IF(A158=0,"",INDEX(Master_Sheet!K:K,MATCH(A158,Master_Sheet!A:A,0)))</f>
        <v/>
      </c>
      <c r="E158" t="str" cm="1">
        <f t="array" ref="E158">IF(A158=0,"",INDEX(Master_Sheet!L:L,MATCH(A158,Master_Sheet!A:A,0)))</f>
        <v/>
      </c>
      <c r="F158" t="str" cm="1">
        <f t="array" ref="F158">IF(A158=0," ",INDEX(Master_Sheet!J:J,MATCH(A158,Master_Sheet!A:A,0)))</f>
        <v xml:space="preserve"> </v>
      </c>
      <c r="G158" t="str" cm="1">
        <f t="array" ref="G158">IF(A158=0,"",INDEX(Master_Sheet!G:G,MATCH(A158,Master_Sheet!A:A,0)))</f>
        <v/>
      </c>
    </row>
    <row r="159" spans="1:7">
      <c r="A159">
        <f>IF(ISBLANK(Initial_entry!A158),,Initial_entry!A158)</f>
        <v>0</v>
      </c>
      <c r="B159" t="str">
        <f>IF(ISBLANK(Initial_entry!B158),"",Initial_entry!B158)</f>
        <v/>
      </c>
      <c r="C159" t="str">
        <f>IF(ISBLANK(Initial_entry!C158),"",Initial_entry!C158)</f>
        <v/>
      </c>
      <c r="D159" t="str" cm="1">
        <f t="array" ref="D159">IF(A159=0,"",INDEX(Master_Sheet!K:K,MATCH(A159,Master_Sheet!A:A,0)))</f>
        <v/>
      </c>
      <c r="E159" t="str" cm="1">
        <f t="array" ref="E159">IF(A159=0,"",INDEX(Master_Sheet!L:L,MATCH(A159,Master_Sheet!A:A,0)))</f>
        <v/>
      </c>
      <c r="F159" t="str" cm="1">
        <f t="array" ref="F159">IF(A159=0," ",INDEX(Master_Sheet!J:J,MATCH(A159,Master_Sheet!A:A,0)))</f>
        <v xml:space="preserve"> </v>
      </c>
      <c r="G159" t="str" cm="1">
        <f t="array" ref="G159">IF(A159=0,"",INDEX(Master_Sheet!G:G,MATCH(A159,Master_Sheet!A:A,0)))</f>
        <v/>
      </c>
    </row>
    <row r="160" spans="1:7">
      <c r="A160">
        <f>IF(ISBLANK(Initial_entry!A159),,Initial_entry!A159)</f>
        <v>0</v>
      </c>
      <c r="B160" t="str">
        <f>IF(ISBLANK(Initial_entry!B159),"",Initial_entry!B159)</f>
        <v/>
      </c>
      <c r="C160" t="str">
        <f>IF(ISBLANK(Initial_entry!C159),"",Initial_entry!C159)</f>
        <v/>
      </c>
      <c r="D160" t="str" cm="1">
        <f t="array" ref="D160">IF(A160=0,"",INDEX(Master_Sheet!K:K,MATCH(A160,Master_Sheet!A:A,0)))</f>
        <v/>
      </c>
      <c r="E160" t="str" cm="1">
        <f t="array" ref="E160">IF(A160=0,"",INDEX(Master_Sheet!L:L,MATCH(A160,Master_Sheet!A:A,0)))</f>
        <v/>
      </c>
      <c r="F160" t="str" cm="1">
        <f t="array" ref="F160">IF(A160=0," ",INDEX(Master_Sheet!J:J,MATCH(A160,Master_Sheet!A:A,0)))</f>
        <v xml:space="preserve"> </v>
      </c>
      <c r="G160" t="str" cm="1">
        <f t="array" ref="G160">IF(A160=0,"",INDEX(Master_Sheet!G:G,MATCH(A160,Master_Sheet!A:A,0)))</f>
        <v/>
      </c>
    </row>
    <row r="161" spans="1:7">
      <c r="A161">
        <f>IF(ISBLANK(Initial_entry!A160),,Initial_entry!A160)</f>
        <v>0</v>
      </c>
      <c r="B161" t="str">
        <f>IF(ISBLANK(Initial_entry!B160),"",Initial_entry!B160)</f>
        <v/>
      </c>
      <c r="C161" t="str">
        <f>IF(ISBLANK(Initial_entry!C160),"",Initial_entry!C160)</f>
        <v/>
      </c>
      <c r="D161" t="str" cm="1">
        <f t="array" ref="D161">IF(A161=0,"",INDEX(Master_Sheet!K:K,MATCH(A161,Master_Sheet!A:A,0)))</f>
        <v/>
      </c>
      <c r="E161" t="str" cm="1">
        <f t="array" ref="E161">IF(A161=0,"",INDEX(Master_Sheet!L:L,MATCH(A161,Master_Sheet!A:A,0)))</f>
        <v/>
      </c>
      <c r="F161" t="str" cm="1">
        <f t="array" ref="F161">IF(A161=0," ",INDEX(Master_Sheet!J:J,MATCH(A161,Master_Sheet!A:A,0)))</f>
        <v xml:space="preserve"> </v>
      </c>
      <c r="G161" t="str" cm="1">
        <f t="array" ref="G161">IF(A161=0,"",INDEX(Master_Sheet!G:G,MATCH(A161,Master_Sheet!A:A,0)))</f>
        <v/>
      </c>
    </row>
    <row r="162" spans="1:7">
      <c r="A162">
        <f>IF(ISBLANK(Initial_entry!A161),,Initial_entry!A161)</f>
        <v>0</v>
      </c>
      <c r="B162" t="str">
        <f>IF(ISBLANK(Initial_entry!B161),"",Initial_entry!B161)</f>
        <v/>
      </c>
      <c r="C162" t="str">
        <f>IF(ISBLANK(Initial_entry!C161),"",Initial_entry!C161)</f>
        <v/>
      </c>
      <c r="D162" t="str" cm="1">
        <f t="array" ref="D162">IF(A162=0,"",INDEX(Master_Sheet!K:K,MATCH(A162,Master_Sheet!A:A,0)))</f>
        <v/>
      </c>
      <c r="E162" t="str" cm="1">
        <f t="array" ref="E162">IF(A162=0,"",INDEX(Master_Sheet!L:L,MATCH(A162,Master_Sheet!A:A,0)))</f>
        <v/>
      </c>
      <c r="F162" t="str" cm="1">
        <f t="array" ref="F162">IF(A162=0," ",INDEX(Master_Sheet!J:J,MATCH(A162,Master_Sheet!A:A,0)))</f>
        <v xml:space="preserve"> </v>
      </c>
      <c r="G162" t="str" cm="1">
        <f t="array" ref="G162">IF(A162=0,"",INDEX(Master_Sheet!G:G,MATCH(A162,Master_Sheet!A:A,0)))</f>
        <v/>
      </c>
    </row>
  </sheetData>
  <sheetProtection sheet="1" objects="1" formatCells="0" formatColumns="0" insertColumns="0" insertRows="0" insertHyperlinks="0" sort="0" autoFilter="0" pivotTables="0"/>
  <autoFilter ref="A1:G162" xr:uid="{00000000-0009-0000-0000-000004000000}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301"/>
  <sheetViews>
    <sheetView workbookViewId="0">
      <selection activeCell="D6" sqref="D6"/>
    </sheetView>
  </sheetViews>
  <sheetFormatPr defaultColWidth="8.7109375" defaultRowHeight="15"/>
  <cols>
    <col min="1" max="1" width="5.42578125" customWidth="1"/>
    <col min="2" max="2" width="21.28515625" customWidth="1"/>
    <col min="3" max="3" width="13.5703125" customWidth="1"/>
    <col min="4" max="4" width="16.85546875" customWidth="1"/>
    <col min="5" max="5" width="19.5703125" customWidth="1"/>
    <col min="6" max="6" width="16.85546875" customWidth="1"/>
    <col min="7" max="7" width="16.140625" customWidth="1"/>
    <col min="8" max="8" width="11.140625" customWidth="1"/>
  </cols>
  <sheetData>
    <row r="1" spans="1:8" s="1" customFormat="1">
      <c r="A1" t="s">
        <v>20</v>
      </c>
      <c r="B1" t="s">
        <v>18</v>
      </c>
      <c r="C1" t="s">
        <v>16</v>
      </c>
      <c r="D1" t="s">
        <v>17</v>
      </c>
      <c r="E1" t="s">
        <v>35</v>
      </c>
      <c r="F1" t="s">
        <v>36</v>
      </c>
      <c r="G1" s="1" t="s">
        <v>37</v>
      </c>
      <c r="H1" s="1" t="s">
        <v>38</v>
      </c>
    </row>
    <row r="2" spans="1:8">
      <c r="A2">
        <v>1</v>
      </c>
      <c r="B2" t="e" cm="1">
        <f t="array" ref="B2:B5">_xlfn.UNIQUE(Final_Master_Sheet!F2:F400,0)</f>
        <v>#REF!</v>
      </c>
      <c r="C2" t="e" cm="1">
        <f t="array" ref="C2">IF(ISBLANK(B2)," ",INDEX(Final_Master_Sheet!D:D,MATCH(B2,Final_Master_Sheet!F:F,0)))</f>
        <v>#REF!</v>
      </c>
      <c r="D2" t="e" cm="1">
        <f t="array" ref="D2">IF(ISBLANK(B2),"",INDEX(Final_Master_Sheet!E:E,MATCH(B2,Final_Master_Sheet!F:F,0)))</f>
        <v>#REF!</v>
      </c>
      <c r="E2" t="e">
        <f>IF((SUMIF(Final_Master_Sheet!F:F,B2,Final_Master_Sheet!G:G))=0," ",SUMIF(Final_Master_Sheet!F:F,B2,Final_Master_Sheet!G:G))</f>
        <v>#REF!</v>
      </c>
      <c r="F2" t="e" cm="1">
        <f t="array" ref="F2">INDEX('[1]Table 1'!$F:$F,MATCH(B2,'[1]Table 1'!$C:$C,0))</f>
        <v>#REF!</v>
      </c>
    </row>
    <row r="3" spans="1:8">
      <c r="A3">
        <v>2</v>
      </c>
      <c r="B3" t="e">
        <v>#N/A</v>
      </c>
    </row>
    <row r="4" spans="1:8">
      <c r="A4">
        <v>3</v>
      </c>
      <c r="B4" t="str">
        <v xml:space="preserve"> </v>
      </c>
    </row>
    <row r="5" spans="1:8">
      <c r="A5">
        <v>4</v>
      </c>
      <c r="B5">
        <v>0</v>
      </c>
    </row>
    <row r="6" spans="1:8">
      <c r="A6">
        <v>5</v>
      </c>
    </row>
    <row r="7" spans="1:8">
      <c r="A7">
        <v>6</v>
      </c>
    </row>
    <row r="8" spans="1:8">
      <c r="A8">
        <v>7</v>
      </c>
    </row>
    <row r="9" spans="1:8">
      <c r="A9">
        <v>8</v>
      </c>
    </row>
    <row r="10" spans="1:8">
      <c r="A10">
        <v>9</v>
      </c>
    </row>
    <row r="11" spans="1:8">
      <c r="A11">
        <v>10</v>
      </c>
    </row>
    <row r="12" spans="1:8">
      <c r="A12">
        <v>11</v>
      </c>
    </row>
    <row r="13" spans="1:8">
      <c r="A13">
        <v>12</v>
      </c>
    </row>
    <row r="14" spans="1:8">
      <c r="A14">
        <v>13</v>
      </c>
    </row>
    <row r="15" spans="1:8">
      <c r="A15">
        <v>14</v>
      </c>
    </row>
    <row r="16" spans="1:8">
      <c r="A16">
        <v>15</v>
      </c>
    </row>
    <row r="17" spans="1:1">
      <c r="A17">
        <v>16</v>
      </c>
    </row>
    <row r="18" spans="1:1">
      <c r="A18">
        <v>17</v>
      </c>
    </row>
    <row r="19" spans="1:1">
      <c r="A19">
        <v>18</v>
      </c>
    </row>
    <row r="20" spans="1:1">
      <c r="A20">
        <v>19</v>
      </c>
    </row>
    <row r="21" spans="1:1">
      <c r="A21">
        <v>20</v>
      </c>
    </row>
    <row r="22" spans="1:1">
      <c r="A22">
        <v>21</v>
      </c>
    </row>
    <row r="23" spans="1:1">
      <c r="A23">
        <v>22</v>
      </c>
    </row>
    <row r="24" spans="1:1">
      <c r="A24">
        <v>23</v>
      </c>
    </row>
    <row r="25" spans="1:1">
      <c r="A25">
        <v>24</v>
      </c>
    </row>
    <row r="26" spans="1:1">
      <c r="A26">
        <v>25</v>
      </c>
    </row>
    <row r="27" spans="1:1">
      <c r="A27">
        <v>26</v>
      </c>
    </row>
    <row r="28" spans="1:1">
      <c r="A28">
        <v>27</v>
      </c>
    </row>
    <row r="29" spans="1:1">
      <c r="A29">
        <v>28</v>
      </c>
    </row>
    <row r="30" spans="1:1">
      <c r="A30">
        <v>29</v>
      </c>
    </row>
    <row r="31" spans="1:1">
      <c r="A31">
        <v>30</v>
      </c>
    </row>
    <row r="32" spans="1:1">
      <c r="A32">
        <v>31</v>
      </c>
    </row>
    <row r="33" spans="1:1">
      <c r="A33">
        <v>32</v>
      </c>
    </row>
    <row r="34" spans="1:1">
      <c r="A34">
        <v>33</v>
      </c>
    </row>
    <row r="35" spans="1:1">
      <c r="A35">
        <v>34</v>
      </c>
    </row>
    <row r="36" spans="1:1">
      <c r="A36">
        <v>35</v>
      </c>
    </row>
    <row r="37" spans="1:1">
      <c r="A37">
        <v>36</v>
      </c>
    </row>
    <row r="38" spans="1:1">
      <c r="A38">
        <v>37</v>
      </c>
    </row>
    <row r="39" spans="1:1">
      <c r="A39">
        <v>38</v>
      </c>
    </row>
    <row r="40" spans="1:1">
      <c r="A40">
        <v>39</v>
      </c>
    </row>
    <row r="41" spans="1:1">
      <c r="A41">
        <v>40</v>
      </c>
    </row>
    <row r="42" spans="1:1">
      <c r="A42">
        <v>41</v>
      </c>
    </row>
    <row r="43" spans="1:1">
      <c r="A43">
        <v>42</v>
      </c>
    </row>
    <row r="44" spans="1:1">
      <c r="A44">
        <v>43</v>
      </c>
    </row>
    <row r="45" spans="1:1">
      <c r="A45">
        <v>44</v>
      </c>
    </row>
    <row r="46" spans="1:1">
      <c r="A46">
        <v>45</v>
      </c>
    </row>
    <row r="47" spans="1:1">
      <c r="A47">
        <v>46</v>
      </c>
    </row>
    <row r="48" spans="1:1">
      <c r="A48">
        <v>47</v>
      </c>
    </row>
    <row r="49" spans="1:1">
      <c r="A49">
        <v>48</v>
      </c>
    </row>
    <row r="50" spans="1:1">
      <c r="A50">
        <v>49</v>
      </c>
    </row>
    <row r="51" spans="1:1">
      <c r="A51">
        <v>50</v>
      </c>
    </row>
    <row r="52" spans="1:1">
      <c r="A52">
        <v>51</v>
      </c>
    </row>
    <row r="53" spans="1:1">
      <c r="A53">
        <v>52</v>
      </c>
    </row>
    <row r="54" spans="1:1">
      <c r="A54">
        <v>53</v>
      </c>
    </row>
    <row r="55" spans="1:1">
      <c r="A55">
        <v>54</v>
      </c>
    </row>
    <row r="56" spans="1:1">
      <c r="A56">
        <v>55</v>
      </c>
    </row>
    <row r="57" spans="1:1">
      <c r="A57">
        <v>56</v>
      </c>
    </row>
    <row r="58" spans="1:1">
      <c r="A58">
        <v>57</v>
      </c>
    </row>
    <row r="59" spans="1:1">
      <c r="A59">
        <v>58</v>
      </c>
    </row>
    <row r="60" spans="1:1">
      <c r="A60">
        <v>59</v>
      </c>
    </row>
    <row r="61" spans="1:1">
      <c r="A61">
        <v>60</v>
      </c>
    </row>
    <row r="62" spans="1:1">
      <c r="A62">
        <v>61</v>
      </c>
    </row>
    <row r="63" spans="1:1">
      <c r="A63">
        <v>62</v>
      </c>
    </row>
    <row r="64" spans="1:1">
      <c r="A64">
        <v>63</v>
      </c>
    </row>
    <row r="65" spans="1:1">
      <c r="A65">
        <v>64</v>
      </c>
    </row>
    <row r="66" spans="1:1">
      <c r="A66">
        <v>65</v>
      </c>
    </row>
    <row r="67" spans="1:1">
      <c r="A67">
        <v>66</v>
      </c>
    </row>
    <row r="68" spans="1:1">
      <c r="A68">
        <v>67</v>
      </c>
    </row>
    <row r="69" spans="1:1">
      <c r="A69">
        <v>68</v>
      </c>
    </row>
    <row r="70" spans="1:1">
      <c r="A70">
        <v>69</v>
      </c>
    </row>
    <row r="71" spans="1:1">
      <c r="A71">
        <v>70</v>
      </c>
    </row>
    <row r="72" spans="1:1">
      <c r="A72">
        <v>71</v>
      </c>
    </row>
    <row r="73" spans="1:1">
      <c r="A73">
        <v>72</v>
      </c>
    </row>
    <row r="74" spans="1:1">
      <c r="A74">
        <v>73</v>
      </c>
    </row>
    <row r="75" spans="1:1">
      <c r="A75">
        <v>74</v>
      </c>
    </row>
    <row r="76" spans="1:1">
      <c r="A76">
        <v>75</v>
      </c>
    </row>
    <row r="77" spans="1:1">
      <c r="A77">
        <v>76</v>
      </c>
    </row>
    <row r="78" spans="1:1">
      <c r="A78">
        <v>77</v>
      </c>
    </row>
    <row r="79" spans="1:1">
      <c r="A79">
        <v>78</v>
      </c>
    </row>
    <row r="80" spans="1:1">
      <c r="A80">
        <v>79</v>
      </c>
    </row>
    <row r="81" spans="1:1">
      <c r="A81">
        <v>80</v>
      </c>
    </row>
    <row r="82" spans="1:1">
      <c r="A82">
        <v>81</v>
      </c>
    </row>
    <row r="83" spans="1:1">
      <c r="A83">
        <v>82</v>
      </c>
    </row>
    <row r="84" spans="1:1">
      <c r="A84">
        <v>83</v>
      </c>
    </row>
    <row r="85" spans="1:1">
      <c r="A85">
        <v>84</v>
      </c>
    </row>
    <row r="86" spans="1:1">
      <c r="A86">
        <v>85</v>
      </c>
    </row>
    <row r="87" spans="1:1">
      <c r="A87">
        <v>86</v>
      </c>
    </row>
    <row r="88" spans="1:1">
      <c r="A88">
        <v>87</v>
      </c>
    </row>
    <row r="89" spans="1:1">
      <c r="A89">
        <v>88</v>
      </c>
    </row>
    <row r="90" spans="1:1">
      <c r="A90">
        <v>89</v>
      </c>
    </row>
    <row r="91" spans="1:1">
      <c r="A91">
        <v>90</v>
      </c>
    </row>
    <row r="92" spans="1:1">
      <c r="A92">
        <v>91</v>
      </c>
    </row>
    <row r="93" spans="1:1">
      <c r="A93">
        <v>92</v>
      </c>
    </row>
    <row r="94" spans="1:1">
      <c r="A94">
        <v>93</v>
      </c>
    </row>
    <row r="95" spans="1:1">
      <c r="A95">
        <v>94</v>
      </c>
    </row>
    <row r="96" spans="1:1">
      <c r="A96">
        <v>95</v>
      </c>
    </row>
    <row r="97" spans="1:1">
      <c r="A97">
        <v>96</v>
      </c>
    </row>
    <row r="98" spans="1:1">
      <c r="A98">
        <v>97</v>
      </c>
    </row>
    <row r="99" spans="1:1">
      <c r="A99">
        <v>98</v>
      </c>
    </row>
    <row r="100" spans="1:1">
      <c r="A100">
        <v>99</v>
      </c>
    </row>
    <row r="101" spans="1:1">
      <c r="A101">
        <v>100</v>
      </c>
    </row>
    <row r="102" spans="1:1">
      <c r="A102">
        <v>101</v>
      </c>
    </row>
    <row r="103" spans="1:1">
      <c r="A103">
        <v>102</v>
      </c>
    </row>
    <row r="104" spans="1:1">
      <c r="A104">
        <v>103</v>
      </c>
    </row>
    <row r="105" spans="1:1">
      <c r="A105">
        <v>104</v>
      </c>
    </row>
    <row r="106" spans="1:1">
      <c r="A106">
        <v>105</v>
      </c>
    </row>
    <row r="107" spans="1:1">
      <c r="A107">
        <v>106</v>
      </c>
    </row>
    <row r="108" spans="1:1">
      <c r="A108">
        <v>107</v>
      </c>
    </row>
    <row r="109" spans="1:1">
      <c r="A109">
        <v>108</v>
      </c>
    </row>
    <row r="110" spans="1:1">
      <c r="A110">
        <v>109</v>
      </c>
    </row>
    <row r="111" spans="1:1">
      <c r="A111">
        <v>110</v>
      </c>
    </row>
    <row r="112" spans="1:1">
      <c r="A112">
        <v>111</v>
      </c>
    </row>
    <row r="113" spans="1:1">
      <c r="A113">
        <v>112</v>
      </c>
    </row>
    <row r="114" spans="1:1">
      <c r="A114">
        <v>113</v>
      </c>
    </row>
    <row r="115" spans="1:1">
      <c r="A115">
        <v>114</v>
      </c>
    </row>
    <row r="116" spans="1:1">
      <c r="A116">
        <v>115</v>
      </c>
    </row>
    <row r="117" spans="1:1">
      <c r="A117">
        <v>116</v>
      </c>
    </row>
    <row r="118" spans="1:1">
      <c r="A118">
        <v>117</v>
      </c>
    </row>
    <row r="119" spans="1:1">
      <c r="A119">
        <v>118</v>
      </c>
    </row>
    <row r="120" spans="1:1">
      <c r="A120">
        <v>119</v>
      </c>
    </row>
    <row r="121" spans="1:1">
      <c r="A121">
        <v>120</v>
      </c>
    </row>
    <row r="122" spans="1:1">
      <c r="A122">
        <v>121</v>
      </c>
    </row>
    <row r="123" spans="1:1">
      <c r="A123">
        <v>122</v>
      </c>
    </row>
    <row r="124" spans="1:1">
      <c r="A124">
        <v>123</v>
      </c>
    </row>
    <row r="125" spans="1:1">
      <c r="A125">
        <v>124</v>
      </c>
    </row>
    <row r="126" spans="1:1">
      <c r="A126">
        <v>125</v>
      </c>
    </row>
    <row r="127" spans="1:1">
      <c r="A127">
        <v>126</v>
      </c>
    </row>
    <row r="128" spans="1:1">
      <c r="A128">
        <v>127</v>
      </c>
    </row>
    <row r="129" spans="1:1">
      <c r="A129">
        <v>128</v>
      </c>
    </row>
    <row r="130" spans="1:1">
      <c r="A130">
        <v>129</v>
      </c>
    </row>
    <row r="131" spans="1:1">
      <c r="A131">
        <v>130</v>
      </c>
    </row>
    <row r="132" spans="1:1">
      <c r="A132">
        <v>131</v>
      </c>
    </row>
    <row r="133" spans="1:1">
      <c r="A133">
        <v>132</v>
      </c>
    </row>
    <row r="134" spans="1:1">
      <c r="A134">
        <v>133</v>
      </c>
    </row>
    <row r="135" spans="1:1">
      <c r="A135">
        <v>134</v>
      </c>
    </row>
    <row r="136" spans="1:1">
      <c r="A136">
        <v>135</v>
      </c>
    </row>
    <row r="137" spans="1:1">
      <c r="A137">
        <v>136</v>
      </c>
    </row>
    <row r="138" spans="1:1">
      <c r="A138">
        <v>137</v>
      </c>
    </row>
    <row r="139" spans="1:1">
      <c r="A139">
        <v>138</v>
      </c>
    </row>
    <row r="140" spans="1:1">
      <c r="A140">
        <v>139</v>
      </c>
    </row>
    <row r="141" spans="1:1">
      <c r="A141">
        <v>140</v>
      </c>
    </row>
    <row r="142" spans="1:1">
      <c r="A142">
        <v>141</v>
      </c>
    </row>
    <row r="143" spans="1:1">
      <c r="A143">
        <v>142</v>
      </c>
    </row>
    <row r="144" spans="1:1">
      <c r="A144">
        <v>143</v>
      </c>
    </row>
    <row r="145" spans="1:1">
      <c r="A145">
        <v>144</v>
      </c>
    </row>
    <row r="146" spans="1:1">
      <c r="A146">
        <v>145</v>
      </c>
    </row>
    <row r="147" spans="1:1">
      <c r="A147">
        <v>146</v>
      </c>
    </row>
    <row r="148" spans="1:1">
      <c r="A148">
        <v>147</v>
      </c>
    </row>
    <row r="149" spans="1:1">
      <c r="A149">
        <v>148</v>
      </c>
    </row>
    <row r="150" spans="1:1">
      <c r="A150">
        <v>149</v>
      </c>
    </row>
    <row r="151" spans="1:1">
      <c r="A151">
        <v>150</v>
      </c>
    </row>
    <row r="152" spans="1:1">
      <c r="A152">
        <v>151</v>
      </c>
    </row>
    <row r="153" spans="1:1">
      <c r="A153">
        <v>152</v>
      </c>
    </row>
    <row r="154" spans="1:1">
      <c r="A154">
        <v>153</v>
      </c>
    </row>
    <row r="155" spans="1:1">
      <c r="A155">
        <v>154</v>
      </c>
    </row>
    <row r="156" spans="1:1">
      <c r="A156">
        <v>155</v>
      </c>
    </row>
    <row r="157" spans="1:1">
      <c r="A157">
        <v>156</v>
      </c>
    </row>
    <row r="158" spans="1:1">
      <c r="A158">
        <v>157</v>
      </c>
    </row>
    <row r="159" spans="1:1">
      <c r="A159">
        <v>158</v>
      </c>
    </row>
    <row r="160" spans="1:1">
      <c r="A160">
        <v>159</v>
      </c>
    </row>
    <row r="161" spans="1:1">
      <c r="A161">
        <v>160</v>
      </c>
    </row>
    <row r="162" spans="1:1">
      <c r="A162">
        <v>161</v>
      </c>
    </row>
    <row r="163" spans="1:1">
      <c r="A163">
        <v>162</v>
      </c>
    </row>
    <row r="164" spans="1:1">
      <c r="A164">
        <v>163</v>
      </c>
    </row>
    <row r="165" spans="1:1">
      <c r="A165">
        <v>164</v>
      </c>
    </row>
    <row r="166" spans="1:1">
      <c r="A166">
        <v>165</v>
      </c>
    </row>
    <row r="167" spans="1:1">
      <c r="A167">
        <v>166</v>
      </c>
    </row>
    <row r="168" spans="1:1">
      <c r="A168">
        <v>167</v>
      </c>
    </row>
    <row r="169" spans="1:1">
      <c r="A169">
        <v>168</v>
      </c>
    </row>
    <row r="170" spans="1:1">
      <c r="A170">
        <v>169</v>
      </c>
    </row>
    <row r="171" spans="1:1">
      <c r="A171">
        <v>170</v>
      </c>
    </row>
    <row r="172" spans="1:1">
      <c r="A172">
        <v>171</v>
      </c>
    </row>
    <row r="173" spans="1:1">
      <c r="A173">
        <v>172</v>
      </c>
    </row>
    <row r="174" spans="1:1">
      <c r="A174">
        <v>173</v>
      </c>
    </row>
    <row r="175" spans="1:1">
      <c r="A175">
        <v>174</v>
      </c>
    </row>
    <row r="176" spans="1:1">
      <c r="A176">
        <v>175</v>
      </c>
    </row>
    <row r="177" spans="1:1">
      <c r="A177">
        <v>176</v>
      </c>
    </row>
    <row r="178" spans="1:1">
      <c r="A178">
        <v>177</v>
      </c>
    </row>
    <row r="179" spans="1:1">
      <c r="A179">
        <v>178</v>
      </c>
    </row>
    <row r="180" spans="1:1">
      <c r="A180">
        <v>179</v>
      </c>
    </row>
    <row r="181" spans="1:1">
      <c r="A181">
        <v>180</v>
      </c>
    </row>
    <row r="182" spans="1:1">
      <c r="A182">
        <v>181</v>
      </c>
    </row>
    <row r="183" spans="1:1">
      <c r="A183">
        <v>182</v>
      </c>
    </row>
    <row r="184" spans="1:1">
      <c r="A184">
        <v>183</v>
      </c>
    </row>
    <row r="185" spans="1:1">
      <c r="A185">
        <v>184</v>
      </c>
    </row>
    <row r="186" spans="1:1">
      <c r="A186">
        <v>185</v>
      </c>
    </row>
    <row r="187" spans="1:1">
      <c r="A187">
        <v>186</v>
      </c>
    </row>
    <row r="188" spans="1:1">
      <c r="A188">
        <v>187</v>
      </c>
    </row>
    <row r="189" spans="1:1">
      <c r="A189">
        <v>188</v>
      </c>
    </row>
    <row r="190" spans="1:1">
      <c r="A190">
        <v>189</v>
      </c>
    </row>
    <row r="191" spans="1:1">
      <c r="A191">
        <v>190</v>
      </c>
    </row>
    <row r="192" spans="1:1">
      <c r="A192">
        <v>191</v>
      </c>
    </row>
    <row r="193" spans="1:1">
      <c r="A193">
        <v>192</v>
      </c>
    </row>
    <row r="194" spans="1:1">
      <c r="A194">
        <v>193</v>
      </c>
    </row>
    <row r="195" spans="1:1">
      <c r="A195">
        <v>194</v>
      </c>
    </row>
    <row r="196" spans="1:1">
      <c r="A196">
        <v>195</v>
      </c>
    </row>
    <row r="197" spans="1:1">
      <c r="A197">
        <v>196</v>
      </c>
    </row>
    <row r="198" spans="1:1">
      <c r="A198">
        <v>197</v>
      </c>
    </row>
    <row r="199" spans="1:1">
      <c r="A199">
        <v>198</v>
      </c>
    </row>
    <row r="200" spans="1:1">
      <c r="A200">
        <v>199</v>
      </c>
    </row>
    <row r="201" spans="1:1">
      <c r="A201">
        <v>200</v>
      </c>
    </row>
    <row r="202" spans="1:1">
      <c r="A202">
        <v>201</v>
      </c>
    </row>
    <row r="203" spans="1:1">
      <c r="A203">
        <v>202</v>
      </c>
    </row>
    <row r="204" spans="1:1">
      <c r="A204">
        <v>203</v>
      </c>
    </row>
    <row r="205" spans="1:1">
      <c r="A205">
        <v>204</v>
      </c>
    </row>
    <row r="206" spans="1:1">
      <c r="A206">
        <v>205</v>
      </c>
    </row>
    <row r="207" spans="1:1">
      <c r="A207">
        <v>206</v>
      </c>
    </row>
    <row r="208" spans="1:1">
      <c r="A208">
        <v>207</v>
      </c>
    </row>
    <row r="209" spans="1:1">
      <c r="A209">
        <v>208</v>
      </c>
    </row>
    <row r="210" spans="1:1">
      <c r="A210">
        <v>209</v>
      </c>
    </row>
    <row r="211" spans="1:1">
      <c r="A211">
        <v>210</v>
      </c>
    </row>
    <row r="212" spans="1:1">
      <c r="A212">
        <v>211</v>
      </c>
    </row>
    <row r="213" spans="1:1">
      <c r="A213">
        <v>212</v>
      </c>
    </row>
    <row r="214" spans="1:1">
      <c r="A214">
        <v>213</v>
      </c>
    </row>
    <row r="215" spans="1:1">
      <c r="A215">
        <v>214</v>
      </c>
    </row>
    <row r="216" spans="1:1">
      <c r="A216">
        <v>215</v>
      </c>
    </row>
    <row r="217" spans="1:1">
      <c r="A217">
        <v>216</v>
      </c>
    </row>
    <row r="218" spans="1:1">
      <c r="A218">
        <v>217</v>
      </c>
    </row>
    <row r="219" spans="1:1">
      <c r="A219">
        <v>218</v>
      </c>
    </row>
    <row r="220" spans="1:1">
      <c r="A220">
        <v>219</v>
      </c>
    </row>
    <row r="221" spans="1:1">
      <c r="A221">
        <v>220</v>
      </c>
    </row>
    <row r="222" spans="1:1">
      <c r="A222">
        <v>221</v>
      </c>
    </row>
    <row r="223" spans="1:1">
      <c r="A223">
        <v>222</v>
      </c>
    </row>
    <row r="224" spans="1:1">
      <c r="A224">
        <v>223</v>
      </c>
    </row>
    <row r="225" spans="1:1">
      <c r="A225">
        <v>224</v>
      </c>
    </row>
    <row r="226" spans="1:1">
      <c r="A226">
        <v>225</v>
      </c>
    </row>
    <row r="227" spans="1:1">
      <c r="A227">
        <v>226</v>
      </c>
    </row>
    <row r="228" spans="1:1">
      <c r="A228">
        <v>227</v>
      </c>
    </row>
    <row r="229" spans="1:1">
      <c r="A229">
        <v>228</v>
      </c>
    </row>
    <row r="230" spans="1:1">
      <c r="A230">
        <v>229</v>
      </c>
    </row>
    <row r="231" spans="1:1">
      <c r="A231">
        <v>230</v>
      </c>
    </row>
    <row r="232" spans="1:1">
      <c r="A232">
        <v>231</v>
      </c>
    </row>
    <row r="233" spans="1:1">
      <c r="A233">
        <v>232</v>
      </c>
    </row>
    <row r="234" spans="1:1">
      <c r="A234">
        <v>233</v>
      </c>
    </row>
    <row r="235" spans="1:1">
      <c r="A235">
        <v>234</v>
      </c>
    </row>
    <row r="236" spans="1:1">
      <c r="A236">
        <v>235</v>
      </c>
    </row>
    <row r="237" spans="1:1">
      <c r="A237">
        <v>236</v>
      </c>
    </row>
    <row r="238" spans="1:1">
      <c r="A238">
        <v>237</v>
      </c>
    </row>
    <row r="239" spans="1:1">
      <c r="A239">
        <v>238</v>
      </c>
    </row>
    <row r="240" spans="1:1">
      <c r="A240">
        <v>239</v>
      </c>
    </row>
    <row r="241" spans="1:1">
      <c r="A241">
        <v>240</v>
      </c>
    </row>
    <row r="242" spans="1:1">
      <c r="A242">
        <v>241</v>
      </c>
    </row>
    <row r="243" spans="1:1">
      <c r="A243">
        <v>242</v>
      </c>
    </row>
    <row r="244" spans="1:1">
      <c r="A244">
        <v>243</v>
      </c>
    </row>
    <row r="245" spans="1:1">
      <c r="A245">
        <v>244</v>
      </c>
    </row>
    <row r="246" spans="1:1">
      <c r="A246">
        <v>245</v>
      </c>
    </row>
    <row r="247" spans="1:1">
      <c r="A247">
        <v>246</v>
      </c>
    </row>
    <row r="248" spans="1:1">
      <c r="A248">
        <v>247</v>
      </c>
    </row>
    <row r="249" spans="1:1">
      <c r="A249">
        <v>248</v>
      </c>
    </row>
    <row r="250" spans="1:1">
      <c r="A250">
        <v>249</v>
      </c>
    </row>
    <row r="251" spans="1:1">
      <c r="A251">
        <v>250</v>
      </c>
    </row>
    <row r="252" spans="1:1">
      <c r="A252">
        <v>251</v>
      </c>
    </row>
    <row r="253" spans="1:1">
      <c r="A253">
        <v>252</v>
      </c>
    </row>
    <row r="254" spans="1:1">
      <c r="A254">
        <v>253</v>
      </c>
    </row>
    <row r="255" spans="1:1">
      <c r="A255">
        <v>254</v>
      </c>
    </row>
    <row r="256" spans="1:1">
      <c r="A256">
        <v>255</v>
      </c>
    </row>
    <row r="257" spans="1:1">
      <c r="A257">
        <v>256</v>
      </c>
    </row>
    <row r="258" spans="1:1">
      <c r="A258">
        <v>257</v>
      </c>
    </row>
    <row r="259" spans="1:1">
      <c r="A259">
        <v>258</v>
      </c>
    </row>
    <row r="260" spans="1:1">
      <c r="A260">
        <v>259</v>
      </c>
    </row>
    <row r="261" spans="1:1">
      <c r="A261">
        <v>260</v>
      </c>
    </row>
    <row r="262" spans="1:1">
      <c r="A262">
        <v>261</v>
      </c>
    </row>
    <row r="263" spans="1:1">
      <c r="A263">
        <v>262</v>
      </c>
    </row>
    <row r="264" spans="1:1">
      <c r="A264">
        <v>263</v>
      </c>
    </row>
    <row r="265" spans="1:1">
      <c r="A265">
        <v>264</v>
      </c>
    </row>
    <row r="266" spans="1:1">
      <c r="A266">
        <v>265</v>
      </c>
    </row>
    <row r="267" spans="1:1">
      <c r="A267">
        <v>266</v>
      </c>
    </row>
    <row r="268" spans="1:1">
      <c r="A268">
        <v>267</v>
      </c>
    </row>
    <row r="269" spans="1:1">
      <c r="A269">
        <v>268</v>
      </c>
    </row>
    <row r="270" spans="1:1">
      <c r="A270">
        <v>269</v>
      </c>
    </row>
    <row r="271" spans="1:1">
      <c r="A271">
        <v>270</v>
      </c>
    </row>
    <row r="272" spans="1:1">
      <c r="A272">
        <v>271</v>
      </c>
    </row>
    <row r="273" spans="1:1">
      <c r="A273">
        <v>272</v>
      </c>
    </row>
    <row r="274" spans="1:1">
      <c r="A274">
        <v>273</v>
      </c>
    </row>
    <row r="275" spans="1:1">
      <c r="A275">
        <v>274</v>
      </c>
    </row>
    <row r="276" spans="1:1">
      <c r="A276">
        <v>275</v>
      </c>
    </row>
    <row r="277" spans="1:1">
      <c r="A277">
        <v>276</v>
      </c>
    </row>
    <row r="278" spans="1:1">
      <c r="A278">
        <v>277</v>
      </c>
    </row>
    <row r="279" spans="1:1">
      <c r="A279">
        <v>278</v>
      </c>
    </row>
    <row r="280" spans="1:1">
      <c r="A280">
        <v>279</v>
      </c>
    </row>
    <row r="281" spans="1:1">
      <c r="A281">
        <v>280</v>
      </c>
    </row>
    <row r="282" spans="1:1">
      <c r="A282">
        <v>281</v>
      </c>
    </row>
    <row r="283" spans="1:1">
      <c r="A283">
        <v>282</v>
      </c>
    </row>
    <row r="284" spans="1:1">
      <c r="A284">
        <v>283</v>
      </c>
    </row>
    <row r="285" spans="1:1">
      <c r="A285">
        <v>284</v>
      </c>
    </row>
    <row r="286" spans="1:1">
      <c r="A286">
        <v>285</v>
      </c>
    </row>
    <row r="287" spans="1:1">
      <c r="A287">
        <v>286</v>
      </c>
    </row>
    <row r="288" spans="1:1">
      <c r="A288">
        <v>287</v>
      </c>
    </row>
    <row r="289" spans="1:1">
      <c r="A289">
        <v>288</v>
      </c>
    </row>
    <row r="290" spans="1:1">
      <c r="A290">
        <v>289</v>
      </c>
    </row>
    <row r="291" spans="1:1">
      <c r="A291">
        <v>290</v>
      </c>
    </row>
    <row r="292" spans="1:1">
      <c r="A292">
        <v>291</v>
      </c>
    </row>
    <row r="293" spans="1:1">
      <c r="A293">
        <v>292</v>
      </c>
    </row>
    <row r="294" spans="1:1">
      <c r="A294">
        <v>293</v>
      </c>
    </row>
    <row r="295" spans="1:1">
      <c r="A295">
        <v>294</v>
      </c>
    </row>
    <row r="296" spans="1:1">
      <c r="A296">
        <v>295</v>
      </c>
    </row>
    <row r="297" spans="1:1">
      <c r="A297">
        <v>296</v>
      </c>
    </row>
    <row r="298" spans="1:1">
      <c r="A298">
        <v>297</v>
      </c>
    </row>
    <row r="299" spans="1:1">
      <c r="A299">
        <v>298</v>
      </c>
    </row>
    <row r="300" spans="1:1">
      <c r="A300">
        <v>299</v>
      </c>
    </row>
    <row r="301" spans="1:1">
      <c r="A301">
        <v>300</v>
      </c>
    </row>
  </sheetData>
  <sheetProtection sheet="1" objects="1" formatCells="0" formatColumns="0" formatRows="0" insertColumns="0" insertRows="0" insertHyperlinks="0" sort="0" autoFilter="0" pivotTables="0"/>
  <autoFilter ref="A1:H301" xr:uid="{00000000-0009-0000-0000-000005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Guidelines</vt:lpstr>
      <vt:lpstr>Initial_entry</vt:lpstr>
      <vt:lpstr>Initial_Component_aggregator</vt:lpstr>
      <vt:lpstr>Master_Sheet</vt:lpstr>
      <vt:lpstr>Final_Master_Sheet</vt:lpstr>
      <vt:lpstr>Final_Component_List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jagadeeswara kamarajugadda | AP23122100002</cp:lastModifiedBy>
  <dcterms:created xsi:type="dcterms:W3CDTF">2024-05-24T12:44:00Z</dcterms:created>
  <dcterms:modified xsi:type="dcterms:W3CDTF">2024-07-03T12:47:24Z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DD17B99518C54D4F9076FA6EB0621AAD_12</vt:lpwstr>
  </property>
  <property fmtid="{D5CDD505-2E9C-101B-9397-08002B2CF9AE}" pid="3" name="KSOProductBuildVer">
    <vt:lpwstr>1033-12.2.0.17119</vt:lpwstr>
  </property>
</Properties>
</file>