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PTIF\Desktop\"/>
    </mc:Choice>
  </mc:AlternateContent>
  <xr:revisionPtr revIDLastSave="0" documentId="13_ncr:1_{AD470CA8-5689-45AE-81A0-51BCFF1072E2}" xr6:coauthVersionLast="47" xr6:coauthVersionMax="47" xr10:uidLastSave="{00000000-0000-0000-0000-000000000000}"/>
  <bookViews>
    <workbookView xWindow="-120" yWindow="-120" windowWidth="29040" windowHeight="15720" xr2:uid="{6DE62F23-A60D-472F-A00B-66592BD6BCCC}"/>
  </bookViews>
  <sheets>
    <sheet name="Boost_1" sheetId="1" r:id="rId1"/>
    <sheet name="Boost_2" sheetId="2" r:id="rId2"/>
    <sheet name="Boost_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1" l="1"/>
  <c r="N16" i="1"/>
  <c r="J26" i="1" l="1"/>
  <c r="J25" i="1"/>
  <c r="J24" i="1"/>
  <c r="J17" i="1"/>
  <c r="J16" i="1"/>
  <c r="J14" i="1"/>
  <c r="S12" i="1"/>
  <c r="S10" i="1"/>
  <c r="I11" i="1"/>
  <c r="I10" i="1"/>
  <c r="C23" i="1" l="1"/>
  <c r="J15" i="1"/>
  <c r="C26" i="1" s="1"/>
  <c r="C24" i="1" s="1"/>
  <c r="J5" i="1"/>
  <c r="J4" i="1"/>
  <c r="I20" i="1"/>
  <c r="E17" i="1"/>
  <c r="C27" i="1" l="1"/>
  <c r="C20" i="3"/>
  <c r="I18" i="3"/>
  <c r="J14" i="3"/>
  <c r="J21" i="3" s="1"/>
  <c r="I7" i="3"/>
  <c r="I8" i="3" s="1"/>
  <c r="I9" i="3" s="1"/>
  <c r="J5" i="3"/>
  <c r="J4" i="3"/>
  <c r="C20" i="2"/>
  <c r="I18" i="2"/>
  <c r="J14" i="2"/>
  <c r="I7" i="2"/>
  <c r="I8" i="2" s="1"/>
  <c r="I9" i="2" s="1"/>
  <c r="J5" i="2"/>
  <c r="J4" i="2"/>
  <c r="I7" i="1"/>
  <c r="I8" i="1" l="1"/>
  <c r="S11" i="1"/>
  <c r="S13" i="1"/>
  <c r="I10" i="3"/>
  <c r="I11" i="3"/>
  <c r="J13" i="3"/>
  <c r="J16" i="3"/>
  <c r="C23" i="3" s="1"/>
  <c r="C24" i="3" s="1"/>
  <c r="J23" i="3" s="1"/>
  <c r="J25" i="3" s="1"/>
  <c r="I19" i="3"/>
  <c r="C21" i="3"/>
  <c r="J21" i="2"/>
  <c r="I10" i="2"/>
  <c r="I11" i="2"/>
  <c r="J13" i="2"/>
  <c r="J16" i="2"/>
  <c r="C23" i="2" s="1"/>
  <c r="C24" i="2" s="1"/>
  <c r="J23" i="2" s="1"/>
  <c r="I19" i="2"/>
  <c r="C21" i="2"/>
  <c r="I9" i="1" l="1"/>
  <c r="J25" i="2"/>
  <c r="N15" i="1"/>
  <c r="I19" i="1"/>
  <c r="N10" i="1"/>
  <c r="N11" i="1" s="1"/>
  <c r="N19" i="1" l="1"/>
</calcChain>
</file>

<file path=xl/sharedStrings.xml><?xml version="1.0" encoding="utf-8"?>
<sst xmlns="http://schemas.openxmlformats.org/spreadsheetml/2006/main" count="244" uniqueCount="90">
  <si>
    <t>A</t>
  </si>
  <si>
    <t>Inductor RMS Current</t>
  </si>
  <si>
    <t>uH</t>
  </si>
  <si>
    <t>Inductance value</t>
  </si>
  <si>
    <t>Peak-to-Peak Inductor Ripple Current</t>
  </si>
  <si>
    <t xml:space="preserve">Inductance current Ripple </t>
  </si>
  <si>
    <t>Average Inductance Current</t>
  </si>
  <si>
    <t>uF</t>
  </si>
  <si>
    <t>Capacitance value</t>
  </si>
  <si>
    <t>V</t>
  </si>
  <si>
    <t>Capactiance voltage ripple</t>
  </si>
  <si>
    <t>Output Voltage</t>
  </si>
  <si>
    <t>Calculation Section</t>
  </si>
  <si>
    <t>Ohms</t>
  </si>
  <si>
    <t>Load Resistance</t>
  </si>
  <si>
    <t>Percentage</t>
  </si>
  <si>
    <t>Percentage of peak to peak capacitor voltage ripple</t>
  </si>
  <si>
    <t xml:space="preserve">Avg input </t>
  </si>
  <si>
    <t>Percentage of peak to peak inductor current ripple</t>
  </si>
  <si>
    <t>Assumptions</t>
  </si>
  <si>
    <t>Output max</t>
  </si>
  <si>
    <t>Output min</t>
  </si>
  <si>
    <t>Current</t>
  </si>
  <si>
    <t>Assumed Efficiency</t>
  </si>
  <si>
    <t>us</t>
  </si>
  <si>
    <t>T off</t>
  </si>
  <si>
    <t>W</t>
  </si>
  <si>
    <t>P</t>
  </si>
  <si>
    <t>Power</t>
  </si>
  <si>
    <t>T On</t>
  </si>
  <si>
    <t>Hz</t>
  </si>
  <si>
    <t>Fsw</t>
  </si>
  <si>
    <t>Switching frequency of converter</t>
  </si>
  <si>
    <t>S</t>
  </si>
  <si>
    <t>Vout</t>
  </si>
  <si>
    <t>output voltage of converter</t>
  </si>
  <si>
    <t xml:space="preserve">Time </t>
  </si>
  <si>
    <t>Vgnom</t>
  </si>
  <si>
    <t>Nominal input voltage of converter</t>
  </si>
  <si>
    <t>Khz</t>
  </si>
  <si>
    <t>Frequency</t>
  </si>
  <si>
    <t>Vgmax</t>
  </si>
  <si>
    <t>Maximum input voltage of converter</t>
  </si>
  <si>
    <t>Vgmin</t>
  </si>
  <si>
    <t>Minimum input voltage of converter</t>
  </si>
  <si>
    <t>Max</t>
  </si>
  <si>
    <t>Unit</t>
  </si>
  <si>
    <t>Value</t>
  </si>
  <si>
    <t>Symbol</t>
  </si>
  <si>
    <t>Description</t>
  </si>
  <si>
    <t>Min</t>
  </si>
  <si>
    <t>Duty Cycle</t>
  </si>
  <si>
    <t>Input section</t>
  </si>
  <si>
    <t>Boost Converter</t>
  </si>
  <si>
    <t>mA</t>
  </si>
  <si>
    <t>mV</t>
  </si>
  <si>
    <t>C</t>
  </si>
  <si>
    <t>L</t>
  </si>
  <si>
    <t>Inductance Value</t>
  </si>
  <si>
    <t xml:space="preserve">Input current </t>
  </si>
  <si>
    <t>I</t>
  </si>
  <si>
    <t>Resistace</t>
  </si>
  <si>
    <t>R</t>
  </si>
  <si>
    <t>ohms</t>
  </si>
  <si>
    <t>%</t>
  </si>
  <si>
    <t>Caculated Power OUT</t>
  </si>
  <si>
    <t>Caculated Power IN</t>
  </si>
  <si>
    <r>
      <t>Inductor Conduction Loss (P</t>
    </r>
    <r>
      <rPr>
        <b/>
        <sz val="8"/>
        <color theme="1"/>
        <rFont val="Calibri"/>
        <family val="2"/>
      </rPr>
      <t>L</t>
    </r>
    <r>
      <rPr>
        <b/>
        <sz val="12"/>
        <color theme="1"/>
        <rFont val="Calibri"/>
        <family val="2"/>
      </rPr>
      <t>)</t>
    </r>
  </si>
  <si>
    <t>Switch Condition Loss</t>
  </si>
  <si>
    <t>Total Power Loss</t>
  </si>
  <si>
    <t>Caculated Efficiency</t>
  </si>
  <si>
    <t>Voltage pluse</t>
  </si>
  <si>
    <t>Voff</t>
  </si>
  <si>
    <t>v</t>
  </si>
  <si>
    <t>Von MOSFET</t>
  </si>
  <si>
    <t>10V</t>
  </si>
  <si>
    <t>T delay</t>
  </si>
  <si>
    <t>s</t>
  </si>
  <si>
    <t>T rise MOSFET</t>
  </si>
  <si>
    <t>ns</t>
  </si>
  <si>
    <t>Tfall MOSFET</t>
  </si>
  <si>
    <t>T on</t>
  </si>
  <si>
    <t>T period</t>
  </si>
  <si>
    <t>Tstop (Steady state)</t>
  </si>
  <si>
    <t>ms</t>
  </si>
  <si>
    <t>Transient</t>
  </si>
  <si>
    <t>Synchronous Buck Converter</t>
  </si>
  <si>
    <t>DC</t>
  </si>
  <si>
    <t>Ducty Cycle  - %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</si>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</sst>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12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6"/>
      <color theme="1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20"/>
      <color theme="1"/>
      <name val="Calibri"/>
      <family val="2"/>
    </font>
    <font>
      <b/>
      <sz val="16"/>
      <color theme="1"/>
      <name val="Calibri"/>
      <family val="2"/>
    </font>
    <font>
      <b/>
      <sz val="28"/>
      <color theme="1"/>
      <name val="Calibri"/>
      <family val="2"/>
    </font>
    <font>
      <sz val="16"/>
      <color rgb="FFFF0000"/>
      <name val="Calibri"/>
      <family val="2"/>
    </font>
    <font>
      <b/>
      <sz val="8"/>
      <color theme="1"/>
      <name val="Calibri"/>
      <family val="2"/>
    </font>
    <font>
      <b/>
      <sz val="18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4" borderId="4" xfId="0" applyFont="1" applyFill="1" applyBorder="1" applyAlignment="1">
      <alignment horizontal="center" vertical="center"/>
    </xf>
    <xf numFmtId="2" fontId="2" fillId="4" borderId="5" xfId="0" applyNumberFormat="1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1" fillId="4" borderId="7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left" vertical="center"/>
    </xf>
    <xf numFmtId="2" fontId="4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left" vertical="center" wrapText="1"/>
    </xf>
    <xf numFmtId="2" fontId="1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49" fontId="7" fillId="2" borderId="22" xfId="0" applyNumberFormat="1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2" fontId="9" fillId="6" borderId="1" xfId="0" applyNumberFormat="1" applyFont="1" applyFill="1" applyBorder="1" applyAlignment="1">
      <alignment horizontal="center" vertical="center" wrapText="1"/>
    </xf>
    <xf numFmtId="0" fontId="2" fillId="5" borderId="23" xfId="0" applyFont="1" applyFill="1" applyBorder="1" applyAlignment="1">
      <alignment horizontal="center" vertical="center" wrapText="1"/>
    </xf>
    <xf numFmtId="0" fontId="1" fillId="5" borderId="22" xfId="0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/>
    </xf>
    <xf numFmtId="1" fontId="4" fillId="9" borderId="1" xfId="0" applyNumberFormat="1" applyFont="1" applyFill="1" applyBorder="1" applyAlignment="1">
      <alignment horizontal="center" vertical="center"/>
    </xf>
    <xf numFmtId="2" fontId="4" fillId="9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64" fontId="1" fillId="10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2" fontId="7" fillId="10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2" fontId="1" fillId="9" borderId="1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1" fillId="7" borderId="26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8" fillId="7" borderId="14" xfId="0" applyFont="1" applyFill="1" applyBorder="1" applyAlignment="1">
      <alignment horizontal="center" vertical="center"/>
    </xf>
    <xf numFmtId="0" fontId="8" fillId="7" borderId="13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4" fillId="5" borderId="29" xfId="0" applyFont="1" applyFill="1" applyBorder="1" applyAlignment="1">
      <alignment horizontal="left" vertical="center"/>
    </xf>
    <xf numFmtId="0" fontId="4" fillId="5" borderId="30" xfId="0" applyFont="1" applyFill="1" applyBorder="1" applyAlignment="1">
      <alignment horizontal="left" vertical="center"/>
    </xf>
    <xf numFmtId="0" fontId="4" fillId="5" borderId="16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4" fillId="8" borderId="25" xfId="0" applyFont="1" applyFill="1" applyBorder="1" applyAlignment="1">
      <alignment horizontal="center" vertical="center"/>
    </xf>
    <xf numFmtId="0" fontId="4" fillId="8" borderId="26" xfId="0" applyFont="1" applyFill="1" applyBorder="1" applyAlignment="1">
      <alignment horizontal="center" vertical="center"/>
    </xf>
    <xf numFmtId="0" fontId="4" fillId="8" borderId="2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left" vertical="center"/>
    </xf>
    <xf numFmtId="0" fontId="4" fillId="5" borderId="17" xfId="0" applyFont="1" applyFill="1" applyBorder="1" applyAlignment="1">
      <alignment horizontal="left" vertical="center"/>
    </xf>
    <xf numFmtId="166" fontId="4" fillId="2" borderId="1" xfId="0" applyNumberFormat="1" applyFont="1" applyFill="1" applyBorder="1" applyAlignment="1">
      <alignment horizontal="center" vertical="center"/>
    </xf>
    <xf numFmtId="2" fontId="2" fillId="4" borderId="5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2CEA9-7563-414B-A20D-0D6AE7EF141C}">
  <dimension ref="B1:T33"/>
  <sheetViews>
    <sheetView showGridLines="0" tabSelected="1" topLeftCell="A3" zoomScaleNormal="100" workbookViewId="0">
      <selection activeCell="H26" sqref="H26:I26"/>
    </sheetView>
  </sheetViews>
  <sheetFormatPr defaultRowHeight="15.75" x14ac:dyDescent="0.25"/>
  <cols>
    <col min="1" max="1" width="5.140625" style="1" customWidth="1"/>
    <col min="2" max="2" width="42.42578125" style="1" bestFit="1" customWidth="1"/>
    <col min="3" max="3" width="14.85546875" style="1" customWidth="1"/>
    <col min="4" max="4" width="12.140625" style="1" customWidth="1"/>
    <col min="5" max="5" width="11.42578125" style="1" bestFit="1" customWidth="1"/>
    <col min="6" max="6" width="3.7109375" style="1" customWidth="1"/>
    <col min="7" max="7" width="4.140625" style="1" customWidth="1"/>
    <col min="8" max="8" width="24.28515625" style="1" customWidth="1"/>
    <col min="9" max="9" width="13.140625" style="1" bestFit="1" customWidth="1"/>
    <col min="10" max="10" width="9.42578125" style="1" customWidth="1"/>
    <col min="11" max="11" width="3.85546875" style="1" customWidth="1"/>
    <col min="12" max="12" width="4.7109375" style="1" customWidth="1"/>
    <col min="13" max="13" width="41.85546875" style="1" bestFit="1" customWidth="1"/>
    <col min="14" max="14" width="17" style="1" bestFit="1" customWidth="1"/>
    <col min="15" max="15" width="6.28515625" style="1" customWidth="1"/>
    <col min="16" max="16" width="4.5703125" style="1" customWidth="1"/>
    <col min="17" max="17" width="4.42578125" style="1" customWidth="1"/>
    <col min="18" max="18" width="23.5703125" style="1" bestFit="1" customWidth="1"/>
    <col min="19" max="19" width="10.140625" style="1" customWidth="1"/>
    <col min="20" max="20" width="9" style="1" customWidth="1"/>
    <col min="21" max="16384" width="9.140625" style="1"/>
  </cols>
  <sheetData>
    <row r="1" spans="2:20" ht="12.75" customHeight="1" thickBot="1" x14ac:dyDescent="0.3"/>
    <row r="2" spans="2:20" ht="31.5" customHeight="1" thickBot="1" x14ac:dyDescent="0.3">
      <c r="B2" s="85" t="s">
        <v>86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7"/>
    </row>
    <row r="3" spans="2:20" ht="10.5" customHeight="1" thickBot="1" x14ac:dyDescent="0.3"/>
    <row r="4" spans="2:20" ht="26.25" customHeight="1" thickBot="1" x14ac:dyDescent="0.3">
      <c r="B4" s="98" t="s">
        <v>52</v>
      </c>
      <c r="C4" s="99"/>
      <c r="D4" s="99"/>
      <c r="E4" s="100"/>
      <c r="H4" s="101" t="s">
        <v>51</v>
      </c>
      <c r="I4" s="51" t="s">
        <v>50</v>
      </c>
      <c r="J4" s="45">
        <f>(D9/D6)</f>
        <v>0.39999999999999997</v>
      </c>
      <c r="M4"/>
      <c r="N4"/>
      <c r="O4"/>
      <c r="R4" s="82" t="s">
        <v>71</v>
      </c>
      <c r="S4" s="83"/>
      <c r="T4" s="84"/>
    </row>
    <row r="5" spans="2:20" ht="21" customHeight="1" thickBot="1" x14ac:dyDescent="0.3">
      <c r="B5" s="57" t="s">
        <v>49</v>
      </c>
      <c r="C5" s="56" t="s">
        <v>48</v>
      </c>
      <c r="D5" s="56" t="s">
        <v>47</v>
      </c>
      <c r="E5" s="58" t="s">
        <v>46</v>
      </c>
      <c r="H5" s="102"/>
      <c r="I5" s="46" t="s">
        <v>45</v>
      </c>
      <c r="J5" s="45" t="e">
        <f>(D9/D7)</f>
        <v>#DIV/0!</v>
      </c>
      <c r="M5"/>
      <c r="N5"/>
      <c r="O5"/>
      <c r="R5" s="71" t="s">
        <v>72</v>
      </c>
      <c r="S5" s="72">
        <v>0</v>
      </c>
      <c r="T5" s="72" t="s">
        <v>73</v>
      </c>
    </row>
    <row r="6" spans="2:20" ht="21" customHeight="1" x14ac:dyDescent="0.25">
      <c r="B6" s="43" t="s">
        <v>44</v>
      </c>
      <c r="C6" s="42" t="s">
        <v>43</v>
      </c>
      <c r="D6" s="41">
        <v>24</v>
      </c>
      <c r="E6" s="40" t="s">
        <v>9</v>
      </c>
      <c r="M6"/>
      <c r="N6"/>
      <c r="O6"/>
      <c r="R6" s="71" t="s">
        <v>74</v>
      </c>
      <c r="S6" s="72" t="s">
        <v>75</v>
      </c>
      <c r="T6" s="72" t="s">
        <v>73</v>
      </c>
    </row>
    <row r="7" spans="2:20" ht="21" customHeight="1" x14ac:dyDescent="0.25">
      <c r="B7" s="43" t="s">
        <v>42</v>
      </c>
      <c r="C7" s="42" t="s">
        <v>41</v>
      </c>
      <c r="D7" s="41"/>
      <c r="E7" s="40" t="s">
        <v>9</v>
      </c>
      <c r="H7" s="39" t="s">
        <v>40</v>
      </c>
      <c r="I7" s="44">
        <f>(D10/1000)</f>
        <v>250</v>
      </c>
      <c r="J7" s="44" t="s">
        <v>39</v>
      </c>
      <c r="M7"/>
      <c r="N7"/>
      <c r="O7"/>
      <c r="R7" s="71" t="s">
        <v>76</v>
      </c>
      <c r="S7" s="72">
        <v>0</v>
      </c>
      <c r="T7" s="72" t="s">
        <v>77</v>
      </c>
    </row>
    <row r="8" spans="2:20" ht="21" customHeight="1" x14ac:dyDescent="0.25">
      <c r="B8" s="43" t="s">
        <v>38</v>
      </c>
      <c r="C8" s="42" t="s">
        <v>37</v>
      </c>
      <c r="D8" s="41"/>
      <c r="E8" s="40" t="s">
        <v>9</v>
      </c>
      <c r="H8" s="79" t="s">
        <v>36</v>
      </c>
      <c r="I8" s="44">
        <f>(1/I7*10^3)</f>
        <v>4</v>
      </c>
      <c r="J8" s="44" t="s">
        <v>24</v>
      </c>
      <c r="M8"/>
      <c r="N8"/>
      <c r="O8"/>
      <c r="R8" s="71" t="s">
        <v>78</v>
      </c>
      <c r="S8" s="72">
        <v>10</v>
      </c>
      <c r="T8" s="72" t="s">
        <v>79</v>
      </c>
    </row>
    <row r="9" spans="2:20" ht="21" customHeight="1" x14ac:dyDescent="0.25">
      <c r="B9" s="43" t="s">
        <v>35</v>
      </c>
      <c r="C9" s="42" t="s">
        <v>34</v>
      </c>
      <c r="D9" s="41">
        <v>9.6</v>
      </c>
      <c r="E9" s="40" t="s">
        <v>9</v>
      </c>
      <c r="H9" s="81"/>
      <c r="I9" s="44">
        <f>(I8/1000)</f>
        <v>4.0000000000000001E-3</v>
      </c>
      <c r="J9" s="33" t="s">
        <v>33</v>
      </c>
      <c r="M9"/>
      <c r="N9"/>
      <c r="O9"/>
      <c r="R9" s="71" t="s">
        <v>80</v>
      </c>
      <c r="S9" s="72">
        <v>10</v>
      </c>
      <c r="T9" s="72" t="s">
        <v>79</v>
      </c>
    </row>
    <row r="10" spans="2:20" ht="21" customHeight="1" x14ac:dyDescent="0.25">
      <c r="B10" s="43" t="s">
        <v>32</v>
      </c>
      <c r="C10" s="42" t="s">
        <v>31</v>
      </c>
      <c r="D10" s="41">
        <v>250000</v>
      </c>
      <c r="E10" s="40" t="s">
        <v>30</v>
      </c>
      <c r="H10" s="39" t="s">
        <v>29</v>
      </c>
      <c r="I10" s="38">
        <f>(J4*I8)</f>
        <v>1.5999999999999999</v>
      </c>
      <c r="J10" s="33" t="s">
        <v>24</v>
      </c>
      <c r="M10" s="65" t="s">
        <v>65</v>
      </c>
      <c r="N10" s="63">
        <f>((D9)*J15)</f>
        <v>10</v>
      </c>
      <c r="O10" s="63" t="s">
        <v>26</v>
      </c>
      <c r="R10" s="71" t="s">
        <v>81</v>
      </c>
      <c r="S10" s="74">
        <f>(J4*I8)</f>
        <v>1.5999999999999999</v>
      </c>
      <c r="T10" s="72" t="s">
        <v>24</v>
      </c>
    </row>
    <row r="11" spans="2:20" ht="21" customHeight="1" x14ac:dyDescent="0.25">
      <c r="B11" s="43" t="s">
        <v>28</v>
      </c>
      <c r="C11" s="42" t="s">
        <v>27</v>
      </c>
      <c r="D11" s="41">
        <v>10</v>
      </c>
      <c r="E11" s="40" t="s">
        <v>26</v>
      </c>
      <c r="H11" s="39" t="s">
        <v>25</v>
      </c>
      <c r="I11" s="38">
        <f>((1-J4)*I8)</f>
        <v>2.4000000000000004</v>
      </c>
      <c r="J11" s="33" t="s">
        <v>24</v>
      </c>
      <c r="M11" s="65" t="s">
        <v>66</v>
      </c>
      <c r="N11" s="64">
        <f>(N10/(D12%))</f>
        <v>10.526315789473685</v>
      </c>
      <c r="O11" s="63" t="s">
        <v>26</v>
      </c>
      <c r="R11" s="71" t="s">
        <v>82</v>
      </c>
      <c r="S11" s="72">
        <f>(1/I7*10^3)</f>
        <v>4</v>
      </c>
      <c r="T11" s="72" t="s">
        <v>24</v>
      </c>
    </row>
    <row r="12" spans="2:20" ht="21" customHeight="1" x14ac:dyDescent="0.25">
      <c r="B12" s="43" t="s">
        <v>23</v>
      </c>
      <c r="C12" s="42" t="s">
        <v>15</v>
      </c>
      <c r="D12" s="41">
        <v>95</v>
      </c>
      <c r="E12" s="40"/>
      <c r="N12"/>
      <c r="O12"/>
      <c r="R12" s="71" t="s">
        <v>83</v>
      </c>
      <c r="S12" s="74">
        <f>(J4*I8)</f>
        <v>1.5999999999999999</v>
      </c>
      <c r="T12" s="72" t="s">
        <v>84</v>
      </c>
    </row>
    <row r="13" spans="2:20" ht="21" customHeight="1" x14ac:dyDescent="0.25">
      <c r="B13" s="43" t="s">
        <v>58</v>
      </c>
      <c r="C13" s="52" t="s">
        <v>57</v>
      </c>
      <c r="D13" s="73">
        <v>2.21</v>
      </c>
      <c r="E13" s="53" t="s">
        <v>2</v>
      </c>
      <c r="N13"/>
      <c r="O13"/>
      <c r="R13" s="71" t="s">
        <v>85</v>
      </c>
      <c r="S13" s="72">
        <f>(1/I7*10^3)</f>
        <v>4</v>
      </c>
      <c r="T13" s="72" t="s">
        <v>84</v>
      </c>
    </row>
    <row r="14" spans="2:20" ht="21" customHeight="1" x14ac:dyDescent="0.25">
      <c r="B14" s="43" t="s">
        <v>8</v>
      </c>
      <c r="C14" s="52" t="s">
        <v>56</v>
      </c>
      <c r="D14" s="73">
        <v>2.71</v>
      </c>
      <c r="E14" s="53" t="s">
        <v>7</v>
      </c>
      <c r="H14" s="79" t="s">
        <v>22</v>
      </c>
      <c r="I14" s="33" t="s">
        <v>21</v>
      </c>
      <c r="J14" s="27">
        <f>(J15/(1-J4))</f>
        <v>1.7361111111111109</v>
      </c>
      <c r="M14"/>
      <c r="N14"/>
      <c r="O14"/>
    </row>
    <row r="15" spans="2:20" ht="21" customHeight="1" x14ac:dyDescent="0.25">
      <c r="B15" s="43" t="s">
        <v>59</v>
      </c>
      <c r="C15" s="52" t="s">
        <v>60</v>
      </c>
      <c r="D15" s="59">
        <v>0.438</v>
      </c>
      <c r="E15" s="53" t="s">
        <v>0</v>
      </c>
      <c r="H15" s="80"/>
      <c r="I15" s="33" t="s">
        <v>20</v>
      </c>
      <c r="J15" s="62">
        <f>(D11/D9)</f>
        <v>1.0416666666666667</v>
      </c>
      <c r="M15" s="65" t="s">
        <v>67</v>
      </c>
      <c r="N15" s="66">
        <f>(J24^2)*0.1</f>
        <v>0.1546269966032445</v>
      </c>
      <c r="O15" s="67" t="s">
        <v>26</v>
      </c>
    </row>
    <row r="16" spans="2:20" ht="21" customHeight="1" x14ac:dyDescent="0.25">
      <c r="B16" s="43" t="s">
        <v>61</v>
      </c>
      <c r="C16" s="52" t="s">
        <v>62</v>
      </c>
      <c r="D16" s="41">
        <v>9.6</v>
      </c>
      <c r="E16" s="53" t="s">
        <v>63</v>
      </c>
      <c r="H16" s="80"/>
      <c r="I16" s="24" t="s">
        <v>89</v>
      </c>
      <c r="J16" s="24">
        <f>(N11/D6)</f>
        <v>0.43859649122807021</v>
      </c>
      <c r="M16" s="65" t="s">
        <v>68</v>
      </c>
      <c r="N16" s="110">
        <f>(J14^2)*0.05*J4</f>
        <v>6.0281635802469119E-2</v>
      </c>
      <c r="O16" s="67" t="s">
        <v>26</v>
      </c>
      <c r="R16" s="77"/>
    </row>
    <row r="17" spans="2:18" ht="21" customHeight="1" thickBot="1" x14ac:dyDescent="0.3">
      <c r="B17" s="37" t="s">
        <v>88</v>
      </c>
      <c r="C17" s="54" t="s">
        <v>87</v>
      </c>
      <c r="D17" s="35">
        <v>40</v>
      </c>
      <c r="E17" s="55">
        <f>(D17%)</f>
        <v>0.4</v>
      </c>
      <c r="H17" s="81"/>
      <c r="I17" s="24" t="s">
        <v>17</v>
      </c>
      <c r="J17" s="27">
        <f>(J15/(1-J4))</f>
        <v>1.7361111111111109</v>
      </c>
      <c r="M17" s="65" t="s">
        <v>69</v>
      </c>
      <c r="N17" s="66">
        <f>(N15+N16+1)</f>
        <v>1.2149086324057137</v>
      </c>
      <c r="O17" s="67" t="s">
        <v>26</v>
      </c>
      <c r="R17" s="77"/>
    </row>
    <row r="18" spans="2:18" ht="21" customHeight="1" thickBot="1" x14ac:dyDescent="0.3">
      <c r="B18" s="17"/>
      <c r="C18" s="17"/>
      <c r="D18" s="17"/>
      <c r="E18" s="17"/>
      <c r="M18" s="68"/>
      <c r="N18" s="4"/>
      <c r="O18" s="4"/>
    </row>
    <row r="19" spans="2:18" ht="21" customHeight="1" x14ac:dyDescent="0.25">
      <c r="B19" s="90" t="s">
        <v>18</v>
      </c>
      <c r="C19" s="91"/>
      <c r="D19" s="60">
        <v>10</v>
      </c>
      <c r="E19" s="61" t="s">
        <v>15</v>
      </c>
      <c r="H19" s="14" t="s">
        <v>14</v>
      </c>
      <c r="I19" s="21">
        <f>(I20/J15)</f>
        <v>9.2160000000000011</v>
      </c>
      <c r="J19" s="24" t="s">
        <v>13</v>
      </c>
      <c r="M19" s="69" t="s">
        <v>70</v>
      </c>
      <c r="N19" s="70">
        <f>(N10/N11*100)</f>
        <v>95</v>
      </c>
      <c r="O19" s="67" t="s">
        <v>64</v>
      </c>
      <c r="R19" s="77"/>
    </row>
    <row r="20" spans="2:18" ht="21" customHeight="1" thickBot="1" x14ac:dyDescent="0.3">
      <c r="B20" s="92" t="s">
        <v>16</v>
      </c>
      <c r="C20" s="93"/>
      <c r="D20" s="26">
        <v>2</v>
      </c>
      <c r="E20" s="25" t="s">
        <v>15</v>
      </c>
      <c r="H20" s="23" t="s">
        <v>11</v>
      </c>
      <c r="I20" s="108">
        <f>(E17*D6)</f>
        <v>9.6000000000000014</v>
      </c>
      <c r="J20" s="21" t="s">
        <v>9</v>
      </c>
      <c r="R20" s="77"/>
    </row>
    <row r="21" spans="2:18" ht="21" customHeight="1" thickBot="1" x14ac:dyDescent="0.3">
      <c r="B21" s="2"/>
      <c r="C21" s="2"/>
      <c r="D21" s="2"/>
      <c r="E21" s="2"/>
    </row>
    <row r="22" spans="2:18" ht="21" customHeight="1" thickBot="1" x14ac:dyDescent="0.3">
      <c r="B22" s="95" t="s">
        <v>12</v>
      </c>
      <c r="C22" s="96"/>
      <c r="D22" s="97"/>
      <c r="E22" s="17"/>
      <c r="R22" s="78"/>
    </row>
    <row r="23" spans="2:18" ht="21" customHeight="1" x14ac:dyDescent="0.25">
      <c r="B23" s="20" t="s">
        <v>10</v>
      </c>
      <c r="C23" s="16">
        <f>(D20%*I20)</f>
        <v>0.19200000000000003</v>
      </c>
      <c r="D23" s="18" t="s">
        <v>55</v>
      </c>
      <c r="E23" s="17"/>
      <c r="R23" s="77"/>
    </row>
    <row r="24" spans="2:18" ht="21" customHeight="1" x14ac:dyDescent="0.25">
      <c r="B24" s="16" t="s">
        <v>8</v>
      </c>
      <c r="C24" s="16">
        <f>(C26/(8*D10*C23))</f>
        <v>2.7126736111111111E-7</v>
      </c>
      <c r="D24" s="10" t="s">
        <v>7</v>
      </c>
      <c r="H24" s="14" t="s">
        <v>6</v>
      </c>
      <c r="I24" s="14"/>
      <c r="J24" s="5">
        <f>SQRT((J15^2)+(C27/SQRT(23)))</f>
        <v>1.2434910397877601</v>
      </c>
      <c r="K24" s="4" t="s">
        <v>0</v>
      </c>
    </row>
    <row r="25" spans="2:18" ht="21" customHeight="1" x14ac:dyDescent="0.25">
      <c r="B25" s="103"/>
      <c r="C25" s="104"/>
      <c r="D25" s="105"/>
      <c r="H25" s="75" t="s">
        <v>4</v>
      </c>
      <c r="I25" s="76"/>
      <c r="J25" s="5">
        <f>(J15*(1-J4))</f>
        <v>0.62500000000000011</v>
      </c>
      <c r="K25" s="4" t="s">
        <v>0</v>
      </c>
    </row>
    <row r="26" spans="2:18" ht="21" customHeight="1" x14ac:dyDescent="0.25">
      <c r="B26" s="12" t="s">
        <v>5</v>
      </c>
      <c r="C26" s="11">
        <f>(D19%*J15)</f>
        <v>0.10416666666666669</v>
      </c>
      <c r="D26" s="10" t="s">
        <v>54</v>
      </c>
      <c r="H26" s="88" t="s">
        <v>1</v>
      </c>
      <c r="I26" s="89"/>
      <c r="J26" s="5">
        <f>(J15*SQRT(1-J4))</f>
        <v>0.80687153045987858</v>
      </c>
      <c r="K26" s="4" t="s">
        <v>0</v>
      </c>
    </row>
    <row r="27" spans="2:18" ht="21" customHeight="1" thickBot="1" x14ac:dyDescent="0.3">
      <c r="B27" s="9" t="s">
        <v>3</v>
      </c>
      <c r="C27" s="109">
        <f>((D6*J4*(1-J4))/(D10*C26))*10^4</f>
        <v>2.2118399999999996</v>
      </c>
      <c r="D27" s="7" t="s">
        <v>2</v>
      </c>
    </row>
    <row r="28" spans="2:18" x14ac:dyDescent="0.25">
      <c r="B28" s="2"/>
      <c r="C28" s="2"/>
      <c r="D28" s="2"/>
      <c r="E28" s="2"/>
    </row>
    <row r="29" spans="2:18" x14ac:dyDescent="0.25">
      <c r="B29" s="2"/>
      <c r="C29" s="2"/>
      <c r="D29" s="2"/>
      <c r="E29" s="2"/>
    </row>
    <row r="30" spans="2:18" x14ac:dyDescent="0.25">
      <c r="B30" s="2"/>
      <c r="C30" s="2"/>
      <c r="D30" s="2"/>
      <c r="E30" s="2"/>
    </row>
    <row r="31" spans="2:18" x14ac:dyDescent="0.25">
      <c r="B31" s="2"/>
      <c r="C31" s="2"/>
      <c r="D31" s="2"/>
      <c r="E31" s="2"/>
    </row>
    <row r="32" spans="2:18" x14ac:dyDescent="0.25">
      <c r="B32" s="2"/>
      <c r="C32" s="2"/>
      <c r="D32" s="2"/>
      <c r="E32" s="2"/>
    </row>
    <row r="33" spans="2:5" x14ac:dyDescent="0.25">
      <c r="B33" s="2"/>
      <c r="C33" s="2"/>
      <c r="D33" s="2"/>
      <c r="E33" s="2"/>
    </row>
  </sheetData>
  <mergeCells count="11">
    <mergeCell ref="H14:H17"/>
    <mergeCell ref="R4:T4"/>
    <mergeCell ref="B2:T2"/>
    <mergeCell ref="H26:I26"/>
    <mergeCell ref="B19:C19"/>
    <mergeCell ref="B20:C20"/>
    <mergeCell ref="B22:D22"/>
    <mergeCell ref="B4:E4"/>
    <mergeCell ref="H4:H5"/>
    <mergeCell ref="H8:H9"/>
    <mergeCell ref="B25:D2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00D7D-AB10-41F7-996A-DD45C789C64C}">
  <dimension ref="B1:K30"/>
  <sheetViews>
    <sheetView showGridLines="0" workbookViewId="0">
      <selection activeCell="D7" sqref="D7"/>
    </sheetView>
  </sheetViews>
  <sheetFormatPr defaultRowHeight="15.75" x14ac:dyDescent="0.25"/>
  <cols>
    <col min="1" max="1" width="5.140625" style="1" customWidth="1"/>
    <col min="2" max="2" width="42.42578125" style="1" bestFit="1" customWidth="1"/>
    <col min="3" max="3" width="17.85546875" style="1" customWidth="1"/>
    <col min="4" max="4" width="15" style="1" customWidth="1"/>
    <col min="5" max="5" width="12.7109375" style="1" customWidth="1"/>
    <col min="6" max="6" width="3.7109375" style="1" customWidth="1"/>
    <col min="7" max="7" width="4.140625" style="1" customWidth="1"/>
    <col min="8" max="8" width="27.140625" style="1" bestFit="1" customWidth="1"/>
    <col min="9" max="9" width="13.140625" style="1" bestFit="1" customWidth="1"/>
    <col min="10" max="10" width="12.5703125" style="1" customWidth="1"/>
    <col min="11" max="11" width="6" style="1" customWidth="1"/>
    <col min="12" max="12" width="9.140625" style="1"/>
    <col min="13" max="13" width="24.7109375" style="1" bestFit="1" customWidth="1"/>
    <col min="14" max="14" width="11" style="1" bestFit="1" customWidth="1"/>
    <col min="15" max="16384" width="9.140625" style="1"/>
  </cols>
  <sheetData>
    <row r="1" spans="2:10" ht="16.5" thickBot="1" x14ac:dyDescent="0.3"/>
    <row r="2" spans="2:10" ht="39" customHeight="1" thickBot="1" x14ac:dyDescent="0.3">
      <c r="B2" s="85" t="s">
        <v>53</v>
      </c>
      <c r="C2" s="86"/>
      <c r="D2" s="86"/>
      <c r="E2" s="86"/>
      <c r="F2" s="86"/>
      <c r="G2" s="86"/>
      <c r="H2" s="86"/>
      <c r="I2" s="86"/>
      <c r="J2" s="87"/>
    </row>
    <row r="3" spans="2:10" ht="16.5" thickBot="1" x14ac:dyDescent="0.3"/>
    <row r="4" spans="2:10" ht="26.25" customHeight="1" thickBot="1" x14ac:dyDescent="0.3">
      <c r="B4" s="95" t="s">
        <v>52</v>
      </c>
      <c r="C4" s="96"/>
      <c r="D4" s="96"/>
      <c r="E4" s="97"/>
      <c r="H4" s="101" t="s">
        <v>51</v>
      </c>
      <c r="I4" s="51" t="s">
        <v>50</v>
      </c>
      <c r="J4" s="50">
        <f>(1-D6/D9)</f>
        <v>0.25</v>
      </c>
    </row>
    <row r="5" spans="2:10" ht="21" customHeight="1" thickBot="1" x14ac:dyDescent="0.3">
      <c r="B5" s="49" t="s">
        <v>49</v>
      </c>
      <c r="C5" s="48" t="s">
        <v>48</v>
      </c>
      <c r="D5" s="48" t="s">
        <v>47</v>
      </c>
      <c r="E5" s="47" t="s">
        <v>46</v>
      </c>
      <c r="H5" s="102"/>
      <c r="I5" s="46" t="s">
        <v>45</v>
      </c>
      <c r="J5" s="45">
        <f>(1-D7/D9)</f>
        <v>1</v>
      </c>
    </row>
    <row r="6" spans="2:10" ht="21" customHeight="1" x14ac:dyDescent="0.25">
      <c r="B6" s="43" t="s">
        <v>44</v>
      </c>
      <c r="C6" s="42" t="s">
        <v>43</v>
      </c>
      <c r="D6" s="41">
        <v>36</v>
      </c>
      <c r="E6" s="40" t="s">
        <v>9</v>
      </c>
    </row>
    <row r="7" spans="2:10" ht="21" customHeight="1" x14ac:dyDescent="0.25">
      <c r="B7" s="43" t="s">
        <v>42</v>
      </c>
      <c r="C7" s="42" t="s">
        <v>41</v>
      </c>
      <c r="D7" s="41">
        <v>0</v>
      </c>
      <c r="E7" s="40" t="s">
        <v>9</v>
      </c>
      <c r="H7" s="39" t="s">
        <v>40</v>
      </c>
      <c r="I7" s="44">
        <f>(D10/1000)</f>
        <v>50</v>
      </c>
      <c r="J7" s="44" t="s">
        <v>39</v>
      </c>
    </row>
    <row r="8" spans="2:10" ht="21" customHeight="1" x14ac:dyDescent="0.25">
      <c r="B8" s="43" t="s">
        <v>38</v>
      </c>
      <c r="C8" s="42" t="s">
        <v>37</v>
      </c>
      <c r="D8" s="41"/>
      <c r="E8" s="40" t="s">
        <v>9</v>
      </c>
      <c r="H8" s="79" t="s">
        <v>36</v>
      </c>
      <c r="I8" s="44">
        <f>(1/I7*10^3)</f>
        <v>20</v>
      </c>
      <c r="J8" s="44" t="s">
        <v>24</v>
      </c>
    </row>
    <row r="9" spans="2:10" ht="21" customHeight="1" x14ac:dyDescent="0.25">
      <c r="B9" s="43" t="s">
        <v>35</v>
      </c>
      <c r="C9" s="42" t="s">
        <v>34</v>
      </c>
      <c r="D9" s="41">
        <v>48</v>
      </c>
      <c r="E9" s="40" t="s">
        <v>9</v>
      </c>
      <c r="H9" s="81"/>
      <c r="I9" s="44">
        <f>(I8/1000)</f>
        <v>0.02</v>
      </c>
      <c r="J9" s="33" t="s">
        <v>33</v>
      </c>
    </row>
    <row r="10" spans="2:10" ht="21" customHeight="1" x14ac:dyDescent="0.25">
      <c r="B10" s="43" t="s">
        <v>32</v>
      </c>
      <c r="C10" s="42" t="s">
        <v>31</v>
      </c>
      <c r="D10" s="41">
        <v>50000</v>
      </c>
      <c r="E10" s="40" t="s">
        <v>30</v>
      </c>
      <c r="H10" s="39" t="s">
        <v>29</v>
      </c>
      <c r="I10" s="38">
        <f>(J4*I8)</f>
        <v>5</v>
      </c>
      <c r="J10" s="33" t="s">
        <v>24</v>
      </c>
    </row>
    <row r="11" spans="2:10" ht="21" customHeight="1" x14ac:dyDescent="0.25">
      <c r="B11" s="43" t="s">
        <v>28</v>
      </c>
      <c r="C11" s="42" t="s">
        <v>27</v>
      </c>
      <c r="D11" s="41">
        <v>100</v>
      </c>
      <c r="E11" s="40" t="s">
        <v>26</v>
      </c>
      <c r="H11" s="39" t="s">
        <v>25</v>
      </c>
      <c r="I11" s="38">
        <f>((1-J4)*I8)</f>
        <v>15</v>
      </c>
      <c r="J11" s="33" t="s">
        <v>24</v>
      </c>
    </row>
    <row r="12" spans="2:10" ht="21" customHeight="1" thickBot="1" x14ac:dyDescent="0.3">
      <c r="B12" s="37" t="s">
        <v>23</v>
      </c>
      <c r="C12" s="36" t="s">
        <v>15</v>
      </c>
      <c r="D12" s="35">
        <v>90</v>
      </c>
      <c r="E12" s="34"/>
    </row>
    <row r="13" spans="2:10" ht="21" customHeight="1" x14ac:dyDescent="0.25">
      <c r="B13" s="2"/>
      <c r="C13" s="2"/>
      <c r="D13" s="2"/>
      <c r="E13" s="2"/>
      <c r="H13" s="79" t="s">
        <v>22</v>
      </c>
      <c r="I13" s="33" t="s">
        <v>21</v>
      </c>
      <c r="J13" s="27">
        <f>(J14/(1-J4))</f>
        <v>2.7777777777777781</v>
      </c>
    </row>
    <row r="14" spans="2:10" ht="21" customHeight="1" thickBot="1" x14ac:dyDescent="0.3">
      <c r="B14" s="2"/>
      <c r="C14" s="2"/>
      <c r="D14" s="2"/>
      <c r="E14" s="2"/>
      <c r="H14" s="80"/>
      <c r="I14" s="33" t="s">
        <v>20</v>
      </c>
      <c r="J14" s="32">
        <f>(D11/D9)</f>
        <v>2.0833333333333335</v>
      </c>
    </row>
    <row r="15" spans="2:10" ht="21" customHeight="1" thickBot="1" x14ac:dyDescent="0.3">
      <c r="B15" s="95" t="s">
        <v>19</v>
      </c>
      <c r="C15" s="96"/>
      <c r="D15" s="96"/>
      <c r="E15" s="97"/>
      <c r="H15" s="80"/>
      <c r="I15" s="31"/>
      <c r="J15" s="30"/>
    </row>
    <row r="16" spans="2:10" ht="21" customHeight="1" x14ac:dyDescent="0.25">
      <c r="B16" s="106" t="s">
        <v>18</v>
      </c>
      <c r="C16" s="107"/>
      <c r="D16" s="29">
        <v>10</v>
      </c>
      <c r="E16" s="28" t="s">
        <v>15</v>
      </c>
      <c r="H16" s="81"/>
      <c r="I16" s="24" t="s">
        <v>17</v>
      </c>
      <c r="J16" s="27">
        <f>(J14/(1-J4))</f>
        <v>2.7777777777777781</v>
      </c>
    </row>
    <row r="17" spans="2:11" ht="21" customHeight="1" thickBot="1" x14ac:dyDescent="0.3">
      <c r="B17" s="92" t="s">
        <v>16</v>
      </c>
      <c r="C17" s="93"/>
      <c r="D17" s="26">
        <v>0.5</v>
      </c>
      <c r="E17" s="25" t="s">
        <v>15</v>
      </c>
    </row>
    <row r="18" spans="2:11" ht="21" customHeight="1" thickBot="1" x14ac:dyDescent="0.3">
      <c r="B18" s="2"/>
      <c r="C18" s="2"/>
      <c r="D18" s="2"/>
      <c r="E18" s="2"/>
      <c r="H18" s="14" t="s">
        <v>14</v>
      </c>
      <c r="I18" s="21">
        <f>((D9^2)/D11)</f>
        <v>23.04</v>
      </c>
      <c r="J18" s="24" t="s">
        <v>13</v>
      </c>
    </row>
    <row r="19" spans="2:11" ht="21" customHeight="1" thickBot="1" x14ac:dyDescent="0.3">
      <c r="B19" s="95" t="s">
        <v>12</v>
      </c>
      <c r="C19" s="96"/>
      <c r="D19" s="97"/>
      <c r="E19" s="17"/>
      <c r="H19" s="23" t="s">
        <v>11</v>
      </c>
      <c r="I19" s="22">
        <f>(D6/(1-J4))</f>
        <v>48</v>
      </c>
      <c r="J19" s="21" t="s">
        <v>9</v>
      </c>
    </row>
    <row r="20" spans="2:11" ht="21" customHeight="1" x14ac:dyDescent="0.25">
      <c r="B20" s="20" t="s">
        <v>10</v>
      </c>
      <c r="C20" s="19">
        <f>((D17%)*D9)</f>
        <v>0.24</v>
      </c>
      <c r="D20" s="18" t="s">
        <v>9</v>
      </c>
      <c r="E20" s="17"/>
    </row>
    <row r="21" spans="2:11" ht="21" customHeight="1" x14ac:dyDescent="0.25">
      <c r="B21" s="16" t="s">
        <v>8</v>
      </c>
      <c r="C21" s="15">
        <f>(((J14*J4)/(2*C20*100))*10^3)</f>
        <v>10.850694444444446</v>
      </c>
      <c r="D21" s="10" t="s">
        <v>7</v>
      </c>
      <c r="H21" s="94" t="s">
        <v>6</v>
      </c>
      <c r="I21" s="94"/>
      <c r="J21" s="5">
        <f>(J14/(1-J4))</f>
        <v>2.7777777777777781</v>
      </c>
      <c r="K21" s="4" t="s">
        <v>0</v>
      </c>
    </row>
    <row r="22" spans="2:11" ht="21" customHeight="1" x14ac:dyDescent="0.25">
      <c r="B22" s="12"/>
      <c r="C22" s="13"/>
      <c r="D22" s="10"/>
      <c r="H22" s="6"/>
      <c r="I22" s="6"/>
    </row>
    <row r="23" spans="2:11" ht="21" customHeight="1" x14ac:dyDescent="0.25">
      <c r="B23" s="12" t="s">
        <v>5</v>
      </c>
      <c r="C23" s="11">
        <f>(D16%)*J16</f>
        <v>0.27777777777777785</v>
      </c>
      <c r="D23" s="10" t="s">
        <v>0</v>
      </c>
      <c r="H23" s="88" t="s">
        <v>4</v>
      </c>
      <c r="I23" s="89"/>
      <c r="J23" s="5">
        <f>((D6*J4*I8)/C24)</f>
        <v>0.5555555555555558</v>
      </c>
      <c r="K23" s="4" t="s">
        <v>0</v>
      </c>
    </row>
    <row r="24" spans="2:11" ht="21" customHeight="1" thickBot="1" x14ac:dyDescent="0.3">
      <c r="B24" s="9" t="s">
        <v>3</v>
      </c>
      <c r="C24" s="8">
        <f>(((D6*J4)/(2*(I7*10^3)*C23))*10^6)</f>
        <v>323.99999999999989</v>
      </c>
      <c r="D24" s="7" t="s">
        <v>2</v>
      </c>
      <c r="H24" s="6"/>
      <c r="I24" s="6"/>
    </row>
    <row r="25" spans="2:11" ht="21" x14ac:dyDescent="0.25">
      <c r="B25" s="2"/>
      <c r="C25" s="2"/>
      <c r="D25" s="2"/>
      <c r="E25" s="2"/>
      <c r="H25" s="88" t="s">
        <v>1</v>
      </c>
      <c r="I25" s="89"/>
      <c r="J25" s="5">
        <f>SQRT(J21^2 + ((J23^2)/12))</f>
        <v>2.7824035557993927</v>
      </c>
      <c r="K25" s="4" t="s">
        <v>0</v>
      </c>
    </row>
    <row r="26" spans="2:11" x14ac:dyDescent="0.25">
      <c r="B26" s="2"/>
      <c r="C26" s="2"/>
      <c r="D26" s="2"/>
      <c r="E26" s="2"/>
      <c r="I26" s="3"/>
    </row>
    <row r="27" spans="2:11" x14ac:dyDescent="0.25">
      <c r="B27" s="2"/>
      <c r="C27" s="2"/>
      <c r="D27" s="2"/>
      <c r="E27" s="2"/>
    </row>
    <row r="28" spans="2:11" x14ac:dyDescent="0.25">
      <c r="B28" s="2"/>
      <c r="C28" s="2"/>
      <c r="D28" s="2"/>
      <c r="E28" s="2"/>
    </row>
    <row r="29" spans="2:11" x14ac:dyDescent="0.25">
      <c r="B29" s="2"/>
      <c r="C29" s="2"/>
      <c r="D29" s="2"/>
      <c r="E29" s="2"/>
    </row>
    <row r="30" spans="2:11" x14ac:dyDescent="0.25">
      <c r="B30" s="2"/>
      <c r="C30" s="2"/>
      <c r="D30" s="2"/>
      <c r="E30" s="2"/>
    </row>
  </sheetData>
  <mergeCells count="12">
    <mergeCell ref="B17:C17"/>
    <mergeCell ref="B19:D19"/>
    <mergeCell ref="H21:I21"/>
    <mergeCell ref="H23:I23"/>
    <mergeCell ref="H25:I25"/>
    <mergeCell ref="B2:J2"/>
    <mergeCell ref="B4:E4"/>
    <mergeCell ref="H4:H5"/>
    <mergeCell ref="H8:H9"/>
    <mergeCell ref="H13:H16"/>
    <mergeCell ref="B15:E15"/>
    <mergeCell ref="B16:C1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C9D0A-3EA8-41EE-8B3C-D75507A80478}">
  <dimension ref="B1:K30"/>
  <sheetViews>
    <sheetView showGridLines="0" topLeftCell="A2" workbookViewId="0">
      <selection activeCell="C21" sqref="C21"/>
    </sheetView>
  </sheetViews>
  <sheetFormatPr defaultRowHeight="15.75" x14ac:dyDescent="0.25"/>
  <cols>
    <col min="1" max="1" width="5.140625" style="1" customWidth="1"/>
    <col min="2" max="2" width="42.42578125" style="1" bestFit="1" customWidth="1"/>
    <col min="3" max="3" width="17.85546875" style="1" customWidth="1"/>
    <col min="4" max="4" width="15" style="1" customWidth="1"/>
    <col min="5" max="5" width="12.7109375" style="1" customWidth="1"/>
    <col min="6" max="6" width="3.7109375" style="1" customWidth="1"/>
    <col min="7" max="7" width="4.140625" style="1" customWidth="1"/>
    <col min="8" max="8" width="27.140625" style="1" bestFit="1" customWidth="1"/>
    <col min="9" max="9" width="13.140625" style="1" bestFit="1" customWidth="1"/>
    <col min="10" max="10" width="12.5703125" style="1" customWidth="1"/>
    <col min="11" max="11" width="6" style="1" customWidth="1"/>
    <col min="12" max="12" width="9.140625" style="1"/>
    <col min="13" max="13" width="24.7109375" style="1" bestFit="1" customWidth="1"/>
    <col min="14" max="14" width="11" style="1" bestFit="1" customWidth="1"/>
    <col min="15" max="16384" width="9.140625" style="1"/>
  </cols>
  <sheetData>
    <row r="1" spans="2:10" ht="16.5" thickBot="1" x14ac:dyDescent="0.3"/>
    <row r="2" spans="2:10" ht="39" customHeight="1" thickBot="1" x14ac:dyDescent="0.3">
      <c r="B2" s="85" t="s">
        <v>53</v>
      </c>
      <c r="C2" s="86"/>
      <c r="D2" s="86"/>
      <c r="E2" s="86"/>
      <c r="F2" s="86"/>
      <c r="G2" s="86"/>
      <c r="H2" s="86"/>
      <c r="I2" s="86"/>
      <c r="J2" s="87"/>
    </row>
    <row r="3" spans="2:10" ht="16.5" thickBot="1" x14ac:dyDescent="0.3"/>
    <row r="4" spans="2:10" ht="26.25" customHeight="1" thickBot="1" x14ac:dyDescent="0.3">
      <c r="B4" s="95" t="s">
        <v>52</v>
      </c>
      <c r="C4" s="96"/>
      <c r="D4" s="96"/>
      <c r="E4" s="97"/>
      <c r="H4" s="101" t="s">
        <v>51</v>
      </c>
      <c r="I4" s="51" t="s">
        <v>50</v>
      </c>
      <c r="J4" s="50">
        <f>(1-D6/D9)</f>
        <v>0.25</v>
      </c>
    </row>
    <row r="5" spans="2:10" ht="21" customHeight="1" thickBot="1" x14ac:dyDescent="0.3">
      <c r="B5" s="49" t="s">
        <v>49</v>
      </c>
      <c r="C5" s="48" t="s">
        <v>48</v>
      </c>
      <c r="D5" s="48" t="s">
        <v>47</v>
      </c>
      <c r="E5" s="47" t="s">
        <v>46</v>
      </c>
      <c r="H5" s="102"/>
      <c r="I5" s="46" t="s">
        <v>45</v>
      </c>
      <c r="J5" s="45">
        <f>(1-D7/D9)</f>
        <v>1</v>
      </c>
    </row>
    <row r="6" spans="2:10" ht="21" customHeight="1" x14ac:dyDescent="0.25">
      <c r="B6" s="43" t="s">
        <v>44</v>
      </c>
      <c r="C6" s="42" t="s">
        <v>43</v>
      </c>
      <c r="D6" s="41">
        <v>36</v>
      </c>
      <c r="E6" s="40" t="s">
        <v>9</v>
      </c>
    </row>
    <row r="7" spans="2:10" ht="21" customHeight="1" x14ac:dyDescent="0.25">
      <c r="B7" s="43" t="s">
        <v>42</v>
      </c>
      <c r="C7" s="42" t="s">
        <v>41</v>
      </c>
      <c r="D7" s="41">
        <v>0</v>
      </c>
      <c r="E7" s="40" t="s">
        <v>9</v>
      </c>
      <c r="H7" s="39" t="s">
        <v>40</v>
      </c>
      <c r="I7" s="44">
        <f>(D10/1000)</f>
        <v>50</v>
      </c>
      <c r="J7" s="44" t="s">
        <v>39</v>
      </c>
    </row>
    <row r="8" spans="2:10" ht="21" customHeight="1" x14ac:dyDescent="0.25">
      <c r="B8" s="43" t="s">
        <v>38</v>
      </c>
      <c r="C8" s="42" t="s">
        <v>37</v>
      </c>
      <c r="D8" s="41"/>
      <c r="E8" s="40" t="s">
        <v>9</v>
      </c>
      <c r="H8" s="79" t="s">
        <v>36</v>
      </c>
      <c r="I8" s="44">
        <f>(1/I7*10^3)</f>
        <v>20</v>
      </c>
      <c r="J8" s="44" t="s">
        <v>24</v>
      </c>
    </row>
    <row r="9" spans="2:10" ht="21" customHeight="1" x14ac:dyDescent="0.25">
      <c r="B9" s="43" t="s">
        <v>35</v>
      </c>
      <c r="C9" s="42" t="s">
        <v>34</v>
      </c>
      <c r="D9" s="41">
        <v>48</v>
      </c>
      <c r="E9" s="40" t="s">
        <v>9</v>
      </c>
      <c r="H9" s="81"/>
      <c r="I9" s="44">
        <f>(I8/1000)</f>
        <v>0.02</v>
      </c>
      <c r="J9" s="33" t="s">
        <v>33</v>
      </c>
    </row>
    <row r="10" spans="2:10" ht="21" customHeight="1" x14ac:dyDescent="0.25">
      <c r="B10" s="43" t="s">
        <v>32</v>
      </c>
      <c r="C10" s="42" t="s">
        <v>31</v>
      </c>
      <c r="D10" s="41">
        <v>50000</v>
      </c>
      <c r="E10" s="40" t="s">
        <v>30</v>
      </c>
      <c r="H10" s="39" t="s">
        <v>29</v>
      </c>
      <c r="I10" s="38">
        <f>(J4*I8)</f>
        <v>5</v>
      </c>
      <c r="J10" s="33" t="s">
        <v>24</v>
      </c>
    </row>
    <row r="11" spans="2:10" ht="21" customHeight="1" x14ac:dyDescent="0.25">
      <c r="B11" s="43" t="s">
        <v>28</v>
      </c>
      <c r="C11" s="42" t="s">
        <v>27</v>
      </c>
      <c r="D11" s="41">
        <v>20</v>
      </c>
      <c r="E11" s="40" t="s">
        <v>26</v>
      </c>
      <c r="H11" s="39" t="s">
        <v>25</v>
      </c>
      <c r="I11" s="38">
        <f>((1-J4)*I8)</f>
        <v>15</v>
      </c>
      <c r="J11" s="33" t="s">
        <v>24</v>
      </c>
    </row>
    <row r="12" spans="2:10" ht="21" customHeight="1" thickBot="1" x14ac:dyDescent="0.3">
      <c r="B12" s="37" t="s">
        <v>23</v>
      </c>
      <c r="C12" s="36" t="s">
        <v>15</v>
      </c>
      <c r="D12" s="35">
        <v>90</v>
      </c>
      <c r="E12" s="34"/>
    </row>
    <row r="13" spans="2:10" ht="21" customHeight="1" x14ac:dyDescent="0.25">
      <c r="B13" s="2"/>
      <c r="C13" s="2"/>
      <c r="D13" s="2"/>
      <c r="E13" s="2"/>
      <c r="H13" s="79" t="s">
        <v>22</v>
      </c>
      <c r="I13" s="33" t="s">
        <v>21</v>
      </c>
      <c r="J13" s="27">
        <f>(J14/(1-J4))</f>
        <v>0.55555555555555558</v>
      </c>
    </row>
    <row r="14" spans="2:10" ht="21" customHeight="1" thickBot="1" x14ac:dyDescent="0.3">
      <c r="B14" s="2"/>
      <c r="C14" s="2"/>
      <c r="D14" s="2"/>
      <c r="E14" s="2"/>
      <c r="H14" s="80"/>
      <c r="I14" s="33" t="s">
        <v>20</v>
      </c>
      <c r="J14" s="32">
        <f>(D11/D9)</f>
        <v>0.41666666666666669</v>
      </c>
    </row>
    <row r="15" spans="2:10" ht="21" customHeight="1" thickBot="1" x14ac:dyDescent="0.3">
      <c r="B15" s="95" t="s">
        <v>19</v>
      </c>
      <c r="C15" s="96"/>
      <c r="D15" s="96"/>
      <c r="E15" s="97"/>
      <c r="H15" s="80"/>
      <c r="I15" s="31"/>
      <c r="J15" s="30"/>
    </row>
    <row r="16" spans="2:10" ht="21" customHeight="1" x14ac:dyDescent="0.25">
      <c r="B16" s="106" t="s">
        <v>18</v>
      </c>
      <c r="C16" s="107"/>
      <c r="D16" s="29">
        <v>30</v>
      </c>
      <c r="E16" s="28" t="s">
        <v>15</v>
      </c>
      <c r="H16" s="81"/>
      <c r="I16" s="24" t="s">
        <v>17</v>
      </c>
      <c r="J16" s="27">
        <f>(J14/(1-J4))</f>
        <v>0.55555555555555558</v>
      </c>
    </row>
    <row r="17" spans="2:11" ht="21" customHeight="1" thickBot="1" x14ac:dyDescent="0.3">
      <c r="B17" s="92" t="s">
        <v>16</v>
      </c>
      <c r="C17" s="93"/>
      <c r="D17" s="26">
        <v>2</v>
      </c>
      <c r="E17" s="25" t="s">
        <v>15</v>
      </c>
    </row>
    <row r="18" spans="2:11" ht="21" customHeight="1" thickBot="1" x14ac:dyDescent="0.3">
      <c r="B18" s="2"/>
      <c r="C18" s="2"/>
      <c r="D18" s="2"/>
      <c r="E18" s="2"/>
      <c r="H18" s="14" t="s">
        <v>14</v>
      </c>
      <c r="I18" s="21">
        <f>((D9^2)/D11)</f>
        <v>115.2</v>
      </c>
      <c r="J18" s="24" t="s">
        <v>13</v>
      </c>
    </row>
    <row r="19" spans="2:11" ht="21" customHeight="1" thickBot="1" x14ac:dyDescent="0.3">
      <c r="B19" s="95" t="s">
        <v>12</v>
      </c>
      <c r="C19" s="96"/>
      <c r="D19" s="97"/>
      <c r="E19" s="17"/>
      <c r="H19" s="23" t="s">
        <v>11</v>
      </c>
      <c r="I19" s="22">
        <f>(D6/(1-J4))</f>
        <v>48</v>
      </c>
      <c r="J19" s="21" t="s">
        <v>9</v>
      </c>
    </row>
    <row r="20" spans="2:11" ht="21" customHeight="1" x14ac:dyDescent="0.25">
      <c r="B20" s="20" t="s">
        <v>10</v>
      </c>
      <c r="C20" s="19">
        <f>((D17%)*D9)</f>
        <v>0.96</v>
      </c>
      <c r="D20" s="18" t="s">
        <v>9</v>
      </c>
      <c r="E20" s="17"/>
    </row>
    <row r="21" spans="2:11" ht="21" customHeight="1" x14ac:dyDescent="0.25">
      <c r="B21" s="16" t="s">
        <v>8</v>
      </c>
      <c r="C21" s="15">
        <f>(((J14*J4)/(2*C20*100))*10^3)</f>
        <v>0.54253472222222221</v>
      </c>
      <c r="D21" s="10" t="s">
        <v>7</v>
      </c>
      <c r="H21" s="94" t="s">
        <v>6</v>
      </c>
      <c r="I21" s="94"/>
      <c r="J21" s="5">
        <f>(J14/(1-J4))</f>
        <v>0.55555555555555558</v>
      </c>
      <c r="K21" s="4" t="s">
        <v>0</v>
      </c>
    </row>
    <row r="22" spans="2:11" ht="21" customHeight="1" x14ac:dyDescent="0.25">
      <c r="B22" s="12"/>
      <c r="C22" s="13"/>
      <c r="D22" s="10"/>
      <c r="H22" s="6"/>
      <c r="I22" s="6"/>
    </row>
    <row r="23" spans="2:11" ht="21" customHeight="1" x14ac:dyDescent="0.25">
      <c r="B23" s="12" t="s">
        <v>5</v>
      </c>
      <c r="C23" s="11">
        <f>(D16%)*J16</f>
        <v>0.16666666666666666</v>
      </c>
      <c r="D23" s="10" t="s">
        <v>0</v>
      </c>
      <c r="H23" s="88" t="s">
        <v>4</v>
      </c>
      <c r="I23" s="89"/>
      <c r="J23" s="5">
        <f>((D6*J4*I8)/C24)</f>
        <v>0.33333333333333326</v>
      </c>
      <c r="K23" s="4" t="s">
        <v>0</v>
      </c>
    </row>
    <row r="24" spans="2:11" ht="21" customHeight="1" thickBot="1" x14ac:dyDescent="0.3">
      <c r="B24" s="9" t="s">
        <v>3</v>
      </c>
      <c r="C24" s="8">
        <f>(((D6*J4)/(2*(I7*10^3)*C23))*10^6)</f>
        <v>540.00000000000011</v>
      </c>
      <c r="D24" s="7" t="s">
        <v>2</v>
      </c>
      <c r="H24" s="6"/>
      <c r="I24" s="6"/>
    </row>
    <row r="25" spans="2:11" ht="21" x14ac:dyDescent="0.25">
      <c r="B25" s="2"/>
      <c r="C25" s="2"/>
      <c r="D25" s="2"/>
      <c r="E25" s="2"/>
      <c r="H25" s="88" t="s">
        <v>1</v>
      </c>
      <c r="I25" s="89"/>
      <c r="J25" s="5">
        <f>SQRT(J21^2 + ((J23^2)/12))</f>
        <v>0.56382730917179003</v>
      </c>
      <c r="K25" s="4" t="s">
        <v>0</v>
      </c>
    </row>
    <row r="26" spans="2:11" x14ac:dyDescent="0.25">
      <c r="B26" s="2"/>
      <c r="C26" s="2"/>
      <c r="D26" s="2"/>
      <c r="E26" s="2"/>
      <c r="I26" s="3"/>
    </row>
    <row r="27" spans="2:11" x14ac:dyDescent="0.25">
      <c r="B27" s="2"/>
      <c r="C27" s="2"/>
      <c r="D27" s="2"/>
      <c r="E27" s="2"/>
    </row>
    <row r="28" spans="2:11" x14ac:dyDescent="0.25">
      <c r="B28" s="2"/>
      <c r="C28" s="2"/>
      <c r="D28" s="2"/>
      <c r="E28" s="2"/>
    </row>
    <row r="29" spans="2:11" x14ac:dyDescent="0.25">
      <c r="B29" s="2"/>
      <c r="C29" s="2"/>
      <c r="D29" s="2"/>
      <c r="E29" s="2"/>
    </row>
    <row r="30" spans="2:11" x14ac:dyDescent="0.25">
      <c r="B30" s="2"/>
      <c r="C30" s="2"/>
      <c r="D30" s="2"/>
      <c r="E30" s="2"/>
    </row>
  </sheetData>
  <mergeCells count="12">
    <mergeCell ref="B17:C17"/>
    <mergeCell ref="B19:D19"/>
    <mergeCell ref="H21:I21"/>
    <mergeCell ref="H23:I23"/>
    <mergeCell ref="H25:I25"/>
    <mergeCell ref="B2:J2"/>
    <mergeCell ref="B4:E4"/>
    <mergeCell ref="H4:H5"/>
    <mergeCell ref="H8:H9"/>
    <mergeCell ref="H13:H16"/>
    <mergeCell ref="B15:E15"/>
    <mergeCell ref="B16:C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Boost_1</vt:lpstr>
      <vt:lpstr>Boost_2</vt:lpstr>
      <vt:lpstr>Boost_3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jagadeeswara kamarajugadda | AP23122100002</dc:creator>
  <cp:lastModifiedBy>jagadeeswara kamarajugadda | AP23122100002</cp:lastModifiedBy>
  <dcterms:created xsi:type="dcterms:W3CDTF">2024-06-13T10:37:33Z</dcterms:created>
  <dcterms:modified xsi:type="dcterms:W3CDTF">2024-06-27T10:03:26Z</dcterms:modified>
</cp:coreProperties>
</file>